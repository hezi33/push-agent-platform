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61689\Documents\我的POPO\2024.07.17\内容运营日报-24.07.17\"/>
    </mc:Choice>
  </mc:AlternateContent>
  <xr:revisionPtr revIDLastSave="0" documentId="13_ncr:1_{60ADD281-35EC-433A-A6CF-3B72A4EA37CE}" xr6:coauthVersionLast="47" xr6:coauthVersionMax="47" xr10:uidLastSave="{00000000-0000-0000-0000-000000000000}"/>
  <bookViews>
    <workbookView xWindow="-110" yWindow="-110" windowWidth="19420" windowHeight="10560" tabRatio="851" xr2:uid="{00000000-000D-0000-FFFF-FFFF00000000}"/>
  </bookViews>
  <sheets>
    <sheet name="各池子数据" sheetId="1024" r:id="rId1"/>
    <sheet name="编辑贡献时长" sheetId="1019" r:id="rId2"/>
  </sheets>
  <definedNames>
    <definedName name="_xlnm._FilterDatabase" localSheetId="1" hidden="1">编辑贡献时长!$B$2:$F$2</definedName>
    <definedName name="_xlnm._FilterDatabase" localSheetId="0" hidden="1">各池子数据!$B$2:$T$88</definedName>
  </definedNames>
  <calcPr calcId="191029"/>
</workbook>
</file>

<file path=xl/calcChain.xml><?xml version="1.0" encoding="utf-8"?>
<calcChain xmlns="http://schemas.openxmlformats.org/spreadsheetml/2006/main">
  <c r="C28" i="1019" l="1"/>
  <c r="D28" i="1019"/>
  <c r="C29" i="1019"/>
  <c r="D29" i="1019"/>
  <c r="C27" i="1019"/>
  <c r="D27" i="1019"/>
  <c r="F28" i="1019" l="1"/>
  <c r="E27" i="1019" l="1"/>
  <c r="E28" i="1019"/>
  <c r="F27" i="1019"/>
  <c r="F29" i="1019"/>
  <c r="E29" i="1019"/>
</calcChain>
</file>

<file path=xl/sharedStrings.xml><?xml version="1.0" encoding="utf-8"?>
<sst xmlns="http://schemas.openxmlformats.org/spreadsheetml/2006/main" count="388" uniqueCount="95">
  <si>
    <t>业务池</t>
  </si>
  <si>
    <t>曝光量</t>
  </si>
  <si>
    <t>曝光点击量</t>
  </si>
  <si>
    <t>CTR(%)</t>
  </si>
  <si>
    <t>总浏览时长(s)</t>
  </si>
  <si>
    <t>次均浏览进度</t>
  </si>
  <si>
    <t>点击用户量</t>
  </si>
  <si>
    <t>入池人</t>
  </si>
  <si>
    <t>贡献度</t>
  </si>
  <si>
    <t>平均阅读进度</t>
  </si>
  <si>
    <t>中</t>
  </si>
  <si>
    <t>日期</t>
  </si>
  <si>
    <t>权重</t>
  </si>
  <si>
    <t>右</t>
  </si>
  <si>
    <t>左</t>
  </si>
  <si>
    <t>发布条数</t>
  </si>
  <si>
    <t>曝光量</t>
    <phoneticPr fontId="105" type="noConversion"/>
  </si>
  <si>
    <t>汇总浏览时长</t>
    <phoneticPr fontId="105" type="noConversion"/>
  </si>
  <si>
    <t>占比</t>
    <phoneticPr fontId="105" type="noConversion"/>
  </si>
  <si>
    <t>调性</t>
    <phoneticPr fontId="105" type="noConversion"/>
  </si>
  <si>
    <t>当天发布条数</t>
    <phoneticPr fontId="105" type="noConversion"/>
  </si>
  <si>
    <t>104视频各编辑数据</t>
    <phoneticPr fontId="105" type="noConversion"/>
  </si>
  <si>
    <t>次均阅读进度</t>
    <phoneticPr fontId="105" type="noConversion"/>
  </si>
  <si>
    <t>低质曝光占比</t>
    <phoneticPr fontId="105" type="noConversion"/>
  </si>
  <si>
    <t>低质曝光量</t>
    <phoneticPr fontId="105" type="noConversion"/>
  </si>
  <si>
    <t>低质内容CTR</t>
    <phoneticPr fontId="105" type="noConversion"/>
  </si>
  <si>
    <t>下午班103位置</t>
  </si>
  <si>
    <t>汇总的浏览时长</t>
  </si>
  <si>
    <t>次均浏览时长(s)</t>
  </si>
  <si>
    <t>置顶下1&amp;2合计时长</t>
  </si>
  <si>
    <t>每DAU阅读时长</t>
  </si>
  <si>
    <t>客户端DAU</t>
  </si>
  <si>
    <t>客户端人均总时长(minute)</t>
  </si>
  <si>
    <t>每DAU人均使用时长（min)-去作弊</t>
  </si>
  <si>
    <t>置顶下轮播池</t>
  </si>
  <si>
    <t>置顶下1条</t>
  </si>
  <si>
    <t>置顶下2条</t>
  </si>
  <si>
    <t>置顶下2条-新闻资讯</t>
  </si>
  <si>
    <t>置顶下2条-本地编辑内容</t>
  </si>
  <si>
    <t>置顶下2条-视频</t>
  </si>
  <si>
    <t>曝光位置-业务位置</t>
  </si>
  <si>
    <t>头条访问UV</t>
  </si>
  <si>
    <t>点击用户量/头条访问UV</t>
  </si>
  <si>
    <t>置顶下1条2条：点击用户量/头条访问UV</t>
  </si>
  <si>
    <t>头条整体：点击用户量/头条访问UV</t>
  </si>
  <si>
    <t>置顶下第1位</t>
  </si>
  <si>
    <t>置顶下第2位</t>
  </si>
  <si>
    <t>头条其它位置</t>
  </si>
  <si>
    <t>早班104位置</t>
  </si>
  <si>
    <t>日期</t>
    <phoneticPr fontId="105" type="noConversion"/>
  </si>
  <si>
    <t>103104点击次留率</t>
    <phoneticPr fontId="105" type="noConversion"/>
  </si>
  <si>
    <t>汇总浏览时长</t>
    <phoneticPr fontId="105" type="noConversion"/>
  </si>
  <si>
    <t>绝对值</t>
    <phoneticPr fontId="105" type="noConversion"/>
  </si>
  <si>
    <t>曝光量</t>
    <phoneticPr fontId="105" type="noConversion"/>
  </si>
  <si>
    <t>汇总浏览时长</t>
    <phoneticPr fontId="105" type="noConversion"/>
  </si>
  <si>
    <t>CTR</t>
    <phoneticPr fontId="105" type="noConversion"/>
  </si>
  <si>
    <t>总时长</t>
    <phoneticPr fontId="105" type="noConversion"/>
  </si>
  <si>
    <t>早班103位置</t>
  </si>
  <si>
    <t>下午班104位置</t>
  </si>
  <si>
    <t>曝光位置-业务位置</t>
    <phoneticPr fontId="105" type="noConversion"/>
  </si>
  <si>
    <t>置顶下1或2人均浏览时长(s)</t>
    <phoneticPr fontId="105" type="noConversion"/>
  </si>
  <si>
    <t>头条访问用户</t>
    <phoneticPr fontId="105" type="noConversion"/>
  </si>
  <si>
    <t>103/104所有位置占客户端时长比例</t>
    <phoneticPr fontId="105" type="noConversion"/>
  </si>
  <si>
    <t>点击次留率</t>
    <phoneticPr fontId="105" type="noConversion"/>
  </si>
  <si>
    <t>s</t>
    <phoneticPr fontId="105" type="noConversion"/>
  </si>
  <si>
    <t>L</t>
    <phoneticPr fontId="105" type="noConversion"/>
  </si>
  <si>
    <t>汇总浏览时长(s)</t>
    <phoneticPr fontId="105" type="noConversion"/>
  </si>
  <si>
    <t>戴丽丽</t>
  </si>
  <si>
    <t>荀建国</t>
  </si>
  <si>
    <t>康开利</t>
  </si>
  <si>
    <t>李超</t>
  </si>
  <si>
    <t>吕杰</t>
  </si>
  <si>
    <t>付畅</t>
  </si>
  <si>
    <t>张晨</t>
  </si>
  <si>
    <t>张申</t>
  </si>
  <si>
    <t>李曦</t>
  </si>
  <si>
    <t>桂强</t>
  </si>
  <si>
    <t>刘芮铭</t>
  </si>
  <si>
    <t>胡淑丽</t>
  </si>
  <si>
    <t>牛爽</t>
  </si>
  <si>
    <t>汪丽</t>
  </si>
  <si>
    <t>48.19%</t>
  </si>
  <si>
    <t>53.37%</t>
  </si>
  <si>
    <t>77.17%</t>
  </si>
  <si>
    <t>68.56%</t>
  </si>
  <si>
    <t>69.37%</t>
  </si>
  <si>
    <t>68.88%</t>
  </si>
  <si>
    <t>79.04%</t>
  </si>
  <si>
    <t>74.02%</t>
  </si>
  <si>
    <t>73.48%</t>
  </si>
  <si>
    <t>64.21%</t>
  </si>
  <si>
    <t>39.13%</t>
  </si>
  <si>
    <t>75.23%</t>
  </si>
  <si>
    <t>51.99%</t>
  </si>
  <si>
    <t>nan%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</si>
</sst>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 * #,##0_ ;_ * \-#,##0_ ;_ * &quot;-&quot;??_ ;_ @_ "/>
    <numFmt numFmtId="177" formatCode="0_);[Red]\(0\)"/>
    <numFmt numFmtId="178" formatCode="0.00_ "/>
    <numFmt numFmtId="179" formatCode="0_ "/>
  </numFmts>
  <fonts count="11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sz val="11"/>
      <color indexed="8"/>
      <name val="宋体"/>
      <family val="3"/>
      <charset val="134"/>
      <scheme val="minor"/>
    </font>
    <font>
      <u/>
      <sz val="10"/>
      <color theme="1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12"/>
      <color rgb="FFF2F2F2"/>
      <name val="微软雅黑"/>
      <family val="2"/>
      <charset val="134"/>
    </font>
    <font>
      <sz val="12"/>
      <color rgb="FFFFFFFF"/>
      <name val="微软雅黑"/>
      <family val="2"/>
      <charset val="134"/>
    </font>
    <font>
      <b/>
      <sz val="12"/>
      <color theme="0" tint="-4.9989318521683403E-2"/>
      <name val="微软雅黑"/>
      <family val="2"/>
      <charset val="134"/>
    </font>
    <font>
      <sz val="12"/>
      <color theme="0" tint="-4.9989318521683403E-2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5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3">
    <xf numFmtId="0" fontId="0" fillId="0" borderId="0">
      <alignment vertical="center"/>
    </xf>
    <xf numFmtId="9" fontId="10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0" fontId="104" fillId="0" borderId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0" fontId="104" fillId="0" borderId="0"/>
    <xf numFmtId="0" fontId="104" fillId="0" borderId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9" fontId="104" fillId="0" borderId="0" applyFont="0" applyFill="0" applyBorder="0" applyAlignment="0" applyProtection="0">
      <alignment vertical="center"/>
    </xf>
    <xf numFmtId="0" fontId="104" fillId="0" borderId="0"/>
    <xf numFmtId="0" fontId="104" fillId="0" borderId="0">
      <alignment vertical="center"/>
    </xf>
    <xf numFmtId="9" fontId="104" fillId="0" borderId="0" applyFont="0" applyFill="0" applyBorder="0" applyAlignment="0" applyProtection="0">
      <alignment vertical="center"/>
    </xf>
    <xf numFmtId="0" fontId="104" fillId="0" borderId="0">
      <alignment vertical="center"/>
    </xf>
    <xf numFmtId="0" fontId="10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>
      <alignment vertical="center"/>
    </xf>
    <xf numFmtId="0" fontId="104" fillId="0" borderId="0"/>
    <xf numFmtId="0" fontId="104" fillId="0" borderId="0">
      <alignment vertical="center"/>
    </xf>
    <xf numFmtId="0" fontId="104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/>
    <xf numFmtId="0" fontId="104" fillId="0" borderId="0"/>
    <xf numFmtId="0" fontId="104" fillId="0" borderId="0">
      <alignment vertical="center"/>
    </xf>
    <xf numFmtId="0" fontId="104" fillId="0" borderId="0"/>
    <xf numFmtId="0" fontId="104" fillId="0" borderId="0"/>
    <xf numFmtId="0" fontId="101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 applyNumberForma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101" fillId="0" borderId="0">
      <alignment vertical="center"/>
    </xf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6">
    <xf numFmtId="0" fontId="0" fillId="0" borderId="0" xfId="0">
      <alignment vertical="center"/>
    </xf>
    <xf numFmtId="0" fontId="106" fillId="0" borderId="0" xfId="22" applyFont="1">
      <alignment vertical="center"/>
    </xf>
    <xf numFmtId="14" fontId="107" fillId="2" borderId="0" xfId="22" applyNumberFormat="1" applyFont="1" applyFill="1" applyAlignment="1">
      <alignment horizontal="center" vertical="center"/>
    </xf>
    <xf numFmtId="0" fontId="107" fillId="2" borderId="0" xfId="22" applyFont="1" applyFill="1" applyAlignment="1">
      <alignment horizontal="center" vertical="center"/>
    </xf>
    <xf numFmtId="0" fontId="107" fillId="0" borderId="0" xfId="19" applyFont="1" applyAlignment="1">
      <alignment horizontal="center" vertical="top"/>
    </xf>
    <xf numFmtId="0" fontId="106" fillId="3" borderId="0" xfId="22" applyFont="1" applyFill="1" applyAlignment="1">
      <alignment horizontal="center" vertical="center"/>
    </xf>
    <xf numFmtId="176" fontId="106" fillId="0" borderId="0" xfId="61" applyNumberFormat="1" applyFont="1" applyBorder="1">
      <alignment vertical="center"/>
    </xf>
    <xf numFmtId="0" fontId="106" fillId="2" borderId="0" xfId="22" applyFont="1" applyFill="1" applyAlignment="1">
      <alignment horizontal="left" vertical="center"/>
    </xf>
    <xf numFmtId="176" fontId="106" fillId="2" borderId="0" xfId="61" applyNumberFormat="1" applyFont="1" applyFill="1" applyAlignment="1">
      <alignment horizontal="left" vertical="center"/>
    </xf>
    <xf numFmtId="10" fontId="106" fillId="2" borderId="0" xfId="22" applyNumberFormat="1" applyFont="1" applyFill="1" applyAlignment="1">
      <alignment horizontal="right" vertical="center"/>
    </xf>
    <xf numFmtId="0" fontId="106" fillId="2" borderId="0" xfId="22" applyFont="1" applyFill="1" applyAlignment="1">
      <alignment horizontal="right" vertical="center"/>
    </xf>
    <xf numFmtId="176" fontId="106" fillId="0" borderId="0" xfId="22" applyNumberFormat="1" applyFont="1">
      <alignment vertical="center"/>
    </xf>
    <xf numFmtId="0" fontId="107" fillId="3" borderId="0" xfId="19" applyFont="1" applyFill="1" applyAlignment="1">
      <alignment horizontal="center" vertical="top"/>
    </xf>
    <xf numFmtId="0" fontId="106" fillId="4" borderId="0" xfId="22" applyFont="1" applyFill="1" applyAlignment="1">
      <alignment horizontal="left" vertical="center"/>
    </xf>
    <xf numFmtId="176" fontId="106" fillId="4" borderId="0" xfId="61" applyNumberFormat="1" applyFont="1" applyFill="1" applyAlignment="1">
      <alignment horizontal="left" vertical="center"/>
    </xf>
    <xf numFmtId="0" fontId="106" fillId="0" borderId="0" xfId="19" applyFont="1">
      <alignment vertical="center"/>
    </xf>
    <xf numFmtId="0" fontId="106" fillId="3" borderId="0" xfId="19" applyFont="1" applyFill="1" applyAlignment="1"/>
    <xf numFmtId="9" fontId="106" fillId="0" borderId="0" xfId="2" applyFont="1" applyBorder="1">
      <alignment vertical="center"/>
    </xf>
    <xf numFmtId="10" fontId="106" fillId="2" borderId="0" xfId="61" applyNumberFormat="1" applyFont="1" applyFill="1" applyAlignment="1">
      <alignment horizontal="left" vertical="center"/>
    </xf>
    <xf numFmtId="9" fontId="106" fillId="2" borderId="0" xfId="2" applyFont="1" applyFill="1" applyAlignment="1">
      <alignment horizontal="right" vertical="center"/>
    </xf>
    <xf numFmtId="0" fontId="108" fillId="0" borderId="0" xfId="39" applyFont="1">
      <alignment vertical="center"/>
    </xf>
    <xf numFmtId="0" fontId="109" fillId="0" borderId="0" xfId="39" applyFont="1">
      <alignment vertical="center"/>
    </xf>
    <xf numFmtId="0" fontId="106" fillId="0" borderId="0" xfId="39" applyFont="1">
      <alignment vertical="center"/>
    </xf>
    <xf numFmtId="0" fontId="110" fillId="0" borderId="0" xfId="39" applyFont="1" applyAlignment="1">
      <alignment horizontal="center" vertical="center" wrapText="1"/>
    </xf>
    <xf numFmtId="0" fontId="111" fillId="5" borderId="1" xfId="39" applyFont="1" applyFill="1" applyBorder="1" applyAlignment="1">
      <alignment horizontal="center" vertical="center" wrapText="1"/>
    </xf>
    <xf numFmtId="0" fontId="111" fillId="6" borderId="1" xfId="39" applyFont="1" applyFill="1" applyBorder="1" applyAlignment="1">
      <alignment horizontal="center" vertical="center" wrapText="1"/>
    </xf>
    <xf numFmtId="0" fontId="111" fillId="7" borderId="1" xfId="39" applyFont="1" applyFill="1" applyBorder="1" applyAlignment="1">
      <alignment horizontal="center" vertical="center" wrapText="1"/>
    </xf>
    <xf numFmtId="0" fontId="106" fillId="0" borderId="0" xfId="19" applyFont="1" applyAlignment="1"/>
    <xf numFmtId="0" fontId="107" fillId="0" borderId="0" xfId="39" applyFont="1" applyAlignment="1">
      <alignment horizontal="center" vertical="center" wrapText="1"/>
    </xf>
    <xf numFmtId="0" fontId="106" fillId="0" borderId="1" xfId="19" applyFont="1" applyBorder="1" applyAlignment="1"/>
    <xf numFmtId="176" fontId="106" fillId="0" borderId="1" xfId="61" applyNumberFormat="1" applyFont="1" applyBorder="1" applyAlignment="1"/>
    <xf numFmtId="10" fontId="106" fillId="0" borderId="1" xfId="61" applyNumberFormat="1" applyFont="1" applyBorder="1" applyAlignment="1"/>
    <xf numFmtId="2" fontId="106" fillId="0" borderId="1" xfId="19" applyNumberFormat="1" applyFont="1" applyBorder="1" applyAlignment="1"/>
    <xf numFmtId="10" fontId="106" fillId="0" borderId="1" xfId="61" applyNumberFormat="1" applyFont="1" applyBorder="1" applyAlignment="1">
      <alignment horizontal="right"/>
    </xf>
    <xf numFmtId="10" fontId="106" fillId="0" borderId="0" xfId="53" applyNumberFormat="1" applyFont="1" applyAlignment="1">
      <alignment vertical="center"/>
    </xf>
    <xf numFmtId="177" fontId="108" fillId="0" borderId="0" xfId="39" applyNumberFormat="1" applyFont="1">
      <alignment vertical="center"/>
    </xf>
    <xf numFmtId="178" fontId="108" fillId="0" borderId="0" xfId="39" applyNumberFormat="1" applyFont="1">
      <alignment vertical="center"/>
    </xf>
    <xf numFmtId="179" fontId="112" fillId="0" borderId="0" xfId="39" applyNumberFormat="1" applyFont="1">
      <alignment vertical="center"/>
    </xf>
    <xf numFmtId="0" fontId="113" fillId="0" borderId="0" xfId="39" applyFont="1">
      <alignment vertical="center"/>
    </xf>
    <xf numFmtId="2" fontId="112" fillId="0" borderId="0" xfId="39" applyNumberFormat="1" applyFont="1">
      <alignment vertical="center"/>
    </xf>
    <xf numFmtId="0" fontId="114" fillId="0" borderId="0" xfId="39" applyFont="1">
      <alignment vertical="center"/>
    </xf>
    <xf numFmtId="10" fontId="115" fillId="0" borderId="0" xfId="17" applyNumberFormat="1" applyFont="1" applyBorder="1" applyAlignment="1">
      <alignment vertical="center"/>
    </xf>
    <xf numFmtId="0" fontId="106" fillId="0" borderId="0" xfId="19" applyFont="1" applyAlignment="1">
      <alignment horizontal="center" vertical="center" wrapText="1"/>
    </xf>
    <xf numFmtId="0" fontId="104" fillId="0" borderId="0" xfId="19" applyAlignment="1"/>
    <xf numFmtId="10" fontId="108" fillId="0" borderId="0" xfId="39" applyNumberFormat="1" applyFont="1">
      <alignment vertical="center"/>
    </xf>
    <xf numFmtId="0" fontId="106" fillId="0" borderId="0" xfId="39" applyFont="1" applyAlignment="1">
      <alignment horizontal="center" vertical="center" wrapText="1"/>
    </xf>
    <xf numFmtId="0" fontId="114" fillId="0" borderId="0" xfId="39" applyFont="1" applyAlignment="1">
      <alignment horizontal="center" vertical="center" wrapText="1"/>
    </xf>
    <xf numFmtId="10" fontId="115" fillId="0" borderId="0" xfId="17" applyNumberFormat="1" applyFont="1" applyBorder="1" applyAlignment="1">
      <alignment horizontal="center" vertical="center" wrapText="1"/>
    </xf>
    <xf numFmtId="10" fontId="106" fillId="0" borderId="1" xfId="19" applyNumberFormat="1" applyFont="1" applyBorder="1" applyAlignment="1"/>
    <xf numFmtId="176" fontId="106" fillId="0" borderId="0" xfId="61" applyNumberFormat="1" applyFont="1" applyBorder="1" applyAlignment="1"/>
    <xf numFmtId="10" fontId="106" fillId="0" borderId="0" xfId="19" applyNumberFormat="1" applyFont="1" applyAlignment="1"/>
    <xf numFmtId="179" fontId="108" fillId="0" borderId="0" xfId="39" applyNumberFormat="1" applyFont="1">
      <alignment vertical="center"/>
    </xf>
    <xf numFmtId="0" fontId="111" fillId="5" borderId="1" xfId="39" applyFont="1" applyFill="1" applyBorder="1" applyAlignment="1">
      <alignment horizontal="center" vertical="center"/>
    </xf>
    <xf numFmtId="179" fontId="108" fillId="0" borderId="0" xfId="39" applyNumberFormat="1" applyFont="1" applyAlignment="1">
      <alignment horizontal="center" vertical="center"/>
    </xf>
    <xf numFmtId="0" fontId="107" fillId="3" borderId="0" xfId="22" applyFont="1" applyFill="1" applyAlignment="1">
      <alignment horizontal="center" vertical="center"/>
    </xf>
    <xf numFmtId="0" fontId="107" fillId="3" borderId="0" xfId="22" applyFont="1" applyFill="1" applyAlignment="1">
      <alignment horizontal="center" vertical="center"/>
    </xf>
  </cellXfs>
  <cellStyles count="163">
    <cellStyle name="百分比" xfId="2" builtinId="5"/>
    <cellStyle name="百分比 2" xfId="4" xr:uid="{00000000-0005-0000-0000-000001000000}"/>
    <cellStyle name="百分比 2 2" xfId="8" xr:uid="{00000000-0005-0000-0000-000002000000}"/>
    <cellStyle name="百分比 2 2 2" xfId="17" xr:uid="{00000000-0005-0000-0000-000003000000}"/>
    <cellStyle name="百分比 3" xfId="20" xr:uid="{00000000-0005-0000-0000-000004000000}"/>
    <cellStyle name="百分比 4" xfId="9" xr:uid="{00000000-0005-0000-0000-000005000000}"/>
    <cellStyle name="百分比 5" xfId="10" xr:uid="{00000000-0005-0000-0000-000006000000}"/>
    <cellStyle name="百分比 6" xfId="11" xr:uid="{00000000-0005-0000-0000-000007000000}"/>
    <cellStyle name="百分比 7" xfId="5" xr:uid="{00000000-0005-0000-0000-000008000000}"/>
    <cellStyle name="百分比 8" xfId="1" xr:uid="{00000000-0005-0000-0000-000009000000}"/>
    <cellStyle name="常规" xfId="0" builtinId="0"/>
    <cellStyle name="常规 10" xfId="19" xr:uid="{00000000-0005-0000-0000-00000B000000}"/>
    <cellStyle name="常规 100" xfId="129" xr:uid="{00000000-0005-0000-0000-00000C000000}"/>
    <cellStyle name="常规 101" xfId="130" xr:uid="{00000000-0005-0000-0000-00000D000000}"/>
    <cellStyle name="常规 102" xfId="131" xr:uid="{00000000-0005-0000-0000-00000E000000}"/>
    <cellStyle name="常规 103" xfId="132" xr:uid="{00000000-0005-0000-0000-00000F000000}"/>
    <cellStyle name="常规 104" xfId="133" xr:uid="{00000000-0005-0000-0000-000010000000}"/>
    <cellStyle name="常规 105" xfId="134" xr:uid="{00000000-0005-0000-0000-000011000000}"/>
    <cellStyle name="常规 106" xfId="135" xr:uid="{00000000-0005-0000-0000-000012000000}"/>
    <cellStyle name="常规 107" xfId="136" xr:uid="{00000000-0005-0000-0000-000013000000}"/>
    <cellStyle name="常规 108" xfId="137" xr:uid="{00000000-0005-0000-0000-000014000000}"/>
    <cellStyle name="常规 109" xfId="138" xr:uid="{00000000-0005-0000-0000-000015000000}"/>
    <cellStyle name="常规 11" xfId="21" xr:uid="{00000000-0005-0000-0000-000016000000}"/>
    <cellStyle name="常规 110" xfId="139" xr:uid="{00000000-0005-0000-0000-000017000000}"/>
    <cellStyle name="常规 111" xfId="140" xr:uid="{00000000-0005-0000-0000-000018000000}"/>
    <cellStyle name="常规 112" xfId="141" xr:uid="{00000000-0005-0000-0000-000019000000}"/>
    <cellStyle name="常规 113" xfId="142" xr:uid="{00000000-0005-0000-0000-00001A000000}"/>
    <cellStyle name="常规 114" xfId="143" xr:uid="{00000000-0005-0000-0000-00001B000000}"/>
    <cellStyle name="常规 115" xfId="144" xr:uid="{00000000-0005-0000-0000-00001C000000}"/>
    <cellStyle name="常规 116" xfId="145" xr:uid="{00000000-0005-0000-0000-00001D000000}"/>
    <cellStyle name="常规 117" xfId="146" xr:uid="{00000000-0005-0000-0000-00001E000000}"/>
    <cellStyle name="常规 118" xfId="147" xr:uid="{00000000-0005-0000-0000-00001F000000}"/>
    <cellStyle name="常规 119" xfId="148" xr:uid="{00000000-0005-0000-0000-000020000000}"/>
    <cellStyle name="常规 12" xfId="7" xr:uid="{00000000-0005-0000-0000-000021000000}"/>
    <cellStyle name="常规 120" xfId="149" xr:uid="{00000000-0005-0000-0000-000022000000}"/>
    <cellStyle name="常规 121" xfId="150" xr:uid="{00000000-0005-0000-0000-000023000000}"/>
    <cellStyle name="常规 122" xfId="151" xr:uid="{00000000-0005-0000-0000-000024000000}"/>
    <cellStyle name="常规 123" xfId="152" xr:uid="{00000000-0005-0000-0000-000025000000}"/>
    <cellStyle name="常规 124" xfId="153" xr:uid="{00000000-0005-0000-0000-000026000000}"/>
    <cellStyle name="常规 125" xfId="154" xr:uid="{00000000-0005-0000-0000-000027000000}"/>
    <cellStyle name="常规 126" xfId="155" xr:uid="{00000000-0005-0000-0000-000028000000}"/>
    <cellStyle name="常规 127" xfId="156" xr:uid="{00000000-0005-0000-0000-000029000000}"/>
    <cellStyle name="常规 128" xfId="157" xr:uid="{00000000-0005-0000-0000-00002A000000}"/>
    <cellStyle name="常规 129" xfId="158" xr:uid="{00000000-0005-0000-0000-00002B000000}"/>
    <cellStyle name="常规 13" xfId="95" xr:uid="{00000000-0005-0000-0000-00002C000000}"/>
    <cellStyle name="常规 130" xfId="159" xr:uid="{00000000-0005-0000-0000-00002D000000}"/>
    <cellStyle name="常规 131" xfId="160" xr:uid="{00000000-0005-0000-0000-00002E000000}"/>
    <cellStyle name="常规 132" xfId="161" xr:uid="{00000000-0005-0000-0000-00002F000000}"/>
    <cellStyle name="常规 133" xfId="162" xr:uid="{00000000-0005-0000-0000-000030000000}"/>
    <cellStyle name="常规 14" xfId="23" xr:uid="{00000000-0005-0000-0000-000031000000}"/>
    <cellStyle name="常规 15" xfId="24" xr:uid="{00000000-0005-0000-0000-000032000000}"/>
    <cellStyle name="常规 16" xfId="16" xr:uid="{00000000-0005-0000-0000-000033000000}"/>
    <cellStyle name="常规 17" xfId="26" xr:uid="{00000000-0005-0000-0000-000034000000}"/>
    <cellStyle name="常规 18" xfId="28" xr:uid="{00000000-0005-0000-0000-000035000000}"/>
    <cellStyle name="常规 19" xfId="30" xr:uid="{00000000-0005-0000-0000-000036000000}"/>
    <cellStyle name="常规 2" xfId="32" xr:uid="{00000000-0005-0000-0000-000037000000}"/>
    <cellStyle name="常规 2 2" xfId="33" xr:uid="{00000000-0005-0000-0000-000038000000}"/>
    <cellStyle name="常规 2 2 2" xfId="34" xr:uid="{00000000-0005-0000-0000-000039000000}"/>
    <cellStyle name="常规 2 2 2 2" xfId="35" xr:uid="{00000000-0005-0000-0000-00003A000000}"/>
    <cellStyle name="常规 2 2 2 2 2" xfId="36" xr:uid="{00000000-0005-0000-0000-00003B000000}"/>
    <cellStyle name="常规 2 2 2 2 2 2" xfId="37" xr:uid="{00000000-0005-0000-0000-00003C000000}"/>
    <cellStyle name="常规 2 2 2 2 2 2 2" xfId="38" xr:uid="{00000000-0005-0000-0000-00003D000000}"/>
    <cellStyle name="常规 2 2 2 2 2 2 2 2" xfId="39" xr:uid="{00000000-0005-0000-0000-00003E000000}"/>
    <cellStyle name="常规 2 2 2 2 2 3" xfId="12" xr:uid="{00000000-0005-0000-0000-00003F000000}"/>
    <cellStyle name="常规 2 2 2 2 2 3 2" xfId="18" xr:uid="{00000000-0005-0000-0000-000040000000}"/>
    <cellStyle name="常规 2 3" xfId="40" xr:uid="{00000000-0005-0000-0000-000041000000}"/>
    <cellStyle name="常规 2 4" xfId="41" xr:uid="{00000000-0005-0000-0000-000042000000}"/>
    <cellStyle name="常规 20" xfId="25" xr:uid="{00000000-0005-0000-0000-000043000000}"/>
    <cellStyle name="常规 21" xfId="15" xr:uid="{00000000-0005-0000-0000-000044000000}"/>
    <cellStyle name="常规 22" xfId="27" xr:uid="{00000000-0005-0000-0000-000045000000}"/>
    <cellStyle name="常规 23" xfId="29" xr:uid="{00000000-0005-0000-0000-000046000000}"/>
    <cellStyle name="常规 24" xfId="31" xr:uid="{00000000-0005-0000-0000-000047000000}"/>
    <cellStyle name="常规 25" xfId="42" xr:uid="{00000000-0005-0000-0000-000048000000}"/>
    <cellStyle name="常规 26" xfId="14" xr:uid="{00000000-0005-0000-0000-000049000000}"/>
    <cellStyle name="常规 27" xfId="44" xr:uid="{00000000-0005-0000-0000-00004A000000}"/>
    <cellStyle name="常规 28" xfId="46" xr:uid="{00000000-0005-0000-0000-00004B000000}"/>
    <cellStyle name="常规 29" xfId="48" xr:uid="{00000000-0005-0000-0000-00004C000000}"/>
    <cellStyle name="常规 3" xfId="50" xr:uid="{00000000-0005-0000-0000-00004D000000}"/>
    <cellStyle name="常规 3 2" xfId="51" xr:uid="{00000000-0005-0000-0000-00004E000000}"/>
    <cellStyle name="常规 30" xfId="43" xr:uid="{00000000-0005-0000-0000-00004F000000}"/>
    <cellStyle name="常规 31" xfId="13" xr:uid="{00000000-0005-0000-0000-000050000000}"/>
    <cellStyle name="常规 32" xfId="45" xr:uid="{00000000-0005-0000-0000-000051000000}"/>
    <cellStyle name="常规 33" xfId="47" xr:uid="{00000000-0005-0000-0000-000052000000}"/>
    <cellStyle name="常规 34" xfId="49" xr:uid="{00000000-0005-0000-0000-000053000000}"/>
    <cellStyle name="常规 35" xfId="62" xr:uid="{00000000-0005-0000-0000-000054000000}"/>
    <cellStyle name="常规 36" xfId="63" xr:uid="{00000000-0005-0000-0000-000055000000}"/>
    <cellStyle name="常规 37" xfId="64" xr:uid="{00000000-0005-0000-0000-000056000000}"/>
    <cellStyle name="常规 38" xfId="65" xr:uid="{00000000-0005-0000-0000-000057000000}"/>
    <cellStyle name="常规 39" xfId="66" xr:uid="{00000000-0005-0000-0000-000058000000}"/>
    <cellStyle name="常规 4" xfId="52" xr:uid="{00000000-0005-0000-0000-000059000000}"/>
    <cellStyle name="常规 40" xfId="67" xr:uid="{00000000-0005-0000-0000-00005A000000}"/>
    <cellStyle name="常规 41" xfId="68" xr:uid="{00000000-0005-0000-0000-00005B000000}"/>
    <cellStyle name="常规 42" xfId="69" xr:uid="{00000000-0005-0000-0000-00005C000000}"/>
    <cellStyle name="常规 43" xfId="70" xr:uid="{00000000-0005-0000-0000-00005D000000}"/>
    <cellStyle name="常规 44" xfId="71" xr:uid="{00000000-0005-0000-0000-00005E000000}"/>
    <cellStyle name="常规 45" xfId="72" xr:uid="{00000000-0005-0000-0000-00005F000000}"/>
    <cellStyle name="常规 46" xfId="73" xr:uid="{00000000-0005-0000-0000-000060000000}"/>
    <cellStyle name="常规 47" xfId="74" xr:uid="{00000000-0005-0000-0000-000061000000}"/>
    <cellStyle name="常规 48" xfId="75" xr:uid="{00000000-0005-0000-0000-000062000000}"/>
    <cellStyle name="常规 49" xfId="76" xr:uid="{00000000-0005-0000-0000-000063000000}"/>
    <cellStyle name="常规 5" xfId="54" xr:uid="{00000000-0005-0000-0000-000064000000}"/>
    <cellStyle name="常规 5 2" xfId="6" xr:uid="{00000000-0005-0000-0000-000065000000}"/>
    <cellStyle name="常规 5 3" xfId="55" xr:uid="{00000000-0005-0000-0000-000066000000}"/>
    <cellStyle name="常规 5 3 2" xfId="56" xr:uid="{00000000-0005-0000-0000-000067000000}"/>
    <cellStyle name="常规 5 3 2 2" xfId="53" xr:uid="{00000000-0005-0000-0000-000068000000}"/>
    <cellStyle name="常规 50" xfId="77" xr:uid="{00000000-0005-0000-0000-000069000000}"/>
    <cellStyle name="常规 51" xfId="78" xr:uid="{00000000-0005-0000-0000-00006A000000}"/>
    <cellStyle name="常规 52" xfId="79" xr:uid="{00000000-0005-0000-0000-00006B000000}"/>
    <cellStyle name="常规 53" xfId="80" xr:uid="{00000000-0005-0000-0000-00006C000000}"/>
    <cellStyle name="常规 54" xfId="81" xr:uid="{00000000-0005-0000-0000-00006D000000}"/>
    <cellStyle name="常规 55" xfId="82" xr:uid="{00000000-0005-0000-0000-00006E000000}"/>
    <cellStyle name="常规 56" xfId="83" xr:uid="{00000000-0005-0000-0000-00006F000000}"/>
    <cellStyle name="常规 57" xfId="84" xr:uid="{00000000-0005-0000-0000-000070000000}"/>
    <cellStyle name="常规 58" xfId="85" xr:uid="{00000000-0005-0000-0000-000071000000}"/>
    <cellStyle name="常规 59" xfId="86" xr:uid="{00000000-0005-0000-0000-000072000000}"/>
    <cellStyle name="常规 6" xfId="3" xr:uid="{00000000-0005-0000-0000-000073000000}"/>
    <cellStyle name="常规 60" xfId="87" xr:uid="{00000000-0005-0000-0000-000074000000}"/>
    <cellStyle name="常规 61" xfId="88" xr:uid="{00000000-0005-0000-0000-000075000000}"/>
    <cellStyle name="常规 62" xfId="89" xr:uid="{00000000-0005-0000-0000-000076000000}"/>
    <cellStyle name="常规 63" xfId="90" xr:uid="{00000000-0005-0000-0000-000077000000}"/>
    <cellStyle name="常规 64" xfId="91" xr:uid="{00000000-0005-0000-0000-000078000000}"/>
    <cellStyle name="常规 65" xfId="92" xr:uid="{00000000-0005-0000-0000-000079000000}"/>
    <cellStyle name="常规 66" xfId="93" xr:uid="{00000000-0005-0000-0000-00007A000000}"/>
    <cellStyle name="常规 67" xfId="96" xr:uid="{00000000-0005-0000-0000-00007B000000}"/>
    <cellStyle name="常规 68" xfId="97" xr:uid="{00000000-0005-0000-0000-00007C000000}"/>
    <cellStyle name="常规 69" xfId="98" xr:uid="{00000000-0005-0000-0000-00007D000000}"/>
    <cellStyle name="常规 7" xfId="57" xr:uid="{00000000-0005-0000-0000-00007E000000}"/>
    <cellStyle name="常规 70" xfId="99" xr:uid="{00000000-0005-0000-0000-00007F000000}"/>
    <cellStyle name="常规 71" xfId="100" xr:uid="{00000000-0005-0000-0000-000080000000}"/>
    <cellStyle name="常规 72" xfId="101" xr:uid="{00000000-0005-0000-0000-000081000000}"/>
    <cellStyle name="常规 73" xfId="102" xr:uid="{00000000-0005-0000-0000-000082000000}"/>
    <cellStyle name="常规 74" xfId="103" xr:uid="{00000000-0005-0000-0000-000083000000}"/>
    <cellStyle name="常规 75" xfId="104" xr:uid="{00000000-0005-0000-0000-000084000000}"/>
    <cellStyle name="常规 76" xfId="105" xr:uid="{00000000-0005-0000-0000-000085000000}"/>
    <cellStyle name="常规 77" xfId="106" xr:uid="{00000000-0005-0000-0000-000086000000}"/>
    <cellStyle name="常规 78" xfId="107" xr:uid="{00000000-0005-0000-0000-000087000000}"/>
    <cellStyle name="常规 79" xfId="108" xr:uid="{00000000-0005-0000-0000-000088000000}"/>
    <cellStyle name="常规 8" xfId="58" xr:uid="{00000000-0005-0000-0000-000089000000}"/>
    <cellStyle name="常规 80" xfId="109" xr:uid="{00000000-0005-0000-0000-00008A000000}"/>
    <cellStyle name="常规 81" xfId="110" xr:uid="{00000000-0005-0000-0000-00008B000000}"/>
    <cellStyle name="常规 82" xfId="111" xr:uid="{00000000-0005-0000-0000-00008C000000}"/>
    <cellStyle name="常规 83" xfId="112" xr:uid="{00000000-0005-0000-0000-00008D000000}"/>
    <cellStyle name="常规 84" xfId="113" xr:uid="{00000000-0005-0000-0000-00008E000000}"/>
    <cellStyle name="常规 85" xfId="114" xr:uid="{00000000-0005-0000-0000-00008F000000}"/>
    <cellStyle name="常规 86" xfId="115" xr:uid="{00000000-0005-0000-0000-000090000000}"/>
    <cellStyle name="常规 87" xfId="116" xr:uid="{00000000-0005-0000-0000-000091000000}"/>
    <cellStyle name="常规 88" xfId="117" xr:uid="{00000000-0005-0000-0000-000092000000}"/>
    <cellStyle name="常规 89" xfId="118" xr:uid="{00000000-0005-0000-0000-000093000000}"/>
    <cellStyle name="常规 9" xfId="59" xr:uid="{00000000-0005-0000-0000-000094000000}"/>
    <cellStyle name="常规 90" xfId="119" xr:uid="{00000000-0005-0000-0000-000095000000}"/>
    <cellStyle name="常规 91" xfId="120" xr:uid="{00000000-0005-0000-0000-000096000000}"/>
    <cellStyle name="常规 92" xfId="121" xr:uid="{00000000-0005-0000-0000-000097000000}"/>
    <cellStyle name="常规 93" xfId="122" xr:uid="{00000000-0005-0000-0000-000098000000}"/>
    <cellStyle name="常规 94" xfId="123" xr:uid="{00000000-0005-0000-0000-000099000000}"/>
    <cellStyle name="常规 95" xfId="124" xr:uid="{00000000-0005-0000-0000-00009A000000}"/>
    <cellStyle name="常规 96" xfId="125" xr:uid="{00000000-0005-0000-0000-00009B000000}"/>
    <cellStyle name="常规 97" xfId="126" xr:uid="{00000000-0005-0000-0000-00009C000000}"/>
    <cellStyle name="常规 98" xfId="127" xr:uid="{00000000-0005-0000-0000-00009D000000}"/>
    <cellStyle name="常规 99" xfId="128" xr:uid="{00000000-0005-0000-0000-00009E000000}"/>
    <cellStyle name="超链接 2" xfId="60" xr:uid="{00000000-0005-0000-0000-00009F000000}"/>
    <cellStyle name="千位分隔 2" xfId="61" xr:uid="{00000000-0005-0000-0000-0000A0000000}"/>
    <cellStyle name="着色5" xfId="22" xr:uid="{00000000-0005-0000-0000-0000A1000000}"/>
    <cellStyle name="注释" xfId="94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>
                <a:latin typeface="微软雅黑" panose="020B0503020204020204" pitchFamily="34" charset="-122"/>
                <a:ea typeface="微软雅黑" panose="020B0503020204020204" pitchFamily="34" charset="-122"/>
              </a:rPr>
              <a:t>各调性浏览时长及曝光量分布情况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编辑贡献时长!$B$27</c:f>
              <c:strCache>
                <c:ptCount val="1"/>
                <c:pt idx="0">
                  <c:v>左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编辑贡献时长!$E$26:$F$26</c:f>
              <c:strCache>
                <c:ptCount val="2"/>
                <c:pt idx="0">
                  <c:v>汇总浏览时长</c:v>
                </c:pt>
                <c:pt idx="1">
                  <c:v>曝光量</c:v>
                </c:pt>
              </c:strCache>
            </c:strRef>
          </c:cat>
          <c:val>
            <c:numRef>
              <c:f>编辑贡献时长!$E$27:$F$27</c:f>
              <c:numCache>
                <c:formatCode>0%</c:formatCode>
                <c:ptCount val="2"/>
                <c:pt idx="0">
                  <c:v>1.3257474781789901E-3</c:v>
                </c:pt>
                <c:pt idx="1">
                  <c:v>3.7786043626499154E-3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C-4DE9-8DE2-CB75826B9CD4}"/>
            </c:ext>
          </c:extLst>
        </c:ser>
        <c:ser>
          <c:idx val="1"/>
          <c:order val="1"/>
          <c:tx>
            <c:strRef>
              <c:f>编辑贡献时长!$B$28</c:f>
              <c:strCache>
                <c:ptCount val="1"/>
                <c:pt idx="0">
                  <c:v>中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编辑贡献时长!$E$26:$F$26</c:f>
              <c:strCache>
                <c:ptCount val="2"/>
                <c:pt idx="0">
                  <c:v>汇总浏览时长</c:v>
                </c:pt>
                <c:pt idx="1">
                  <c:v>曝光量</c:v>
                </c:pt>
              </c:strCache>
            </c:strRef>
          </c:cat>
          <c:val>
            <c:numRef>
              <c:f>编辑贡献时长!$E$28:$F$28</c:f>
              <c:numCache>
                <c:formatCode>0%</c:formatCode>
                <c:ptCount val="2"/>
                <c:pt idx="0">
                  <c:v>0.92358355199755771</c:v>
                </c:pt>
                <c:pt idx="1">
                  <c:v>0.9118294099674098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C-4DE9-8DE2-CB75826B9CD4}"/>
            </c:ext>
          </c:extLst>
        </c:ser>
        <c:ser>
          <c:idx val="0"/>
          <c:order val="2"/>
          <c:tx>
            <c:strRef>
              <c:f>编辑贡献时长!$B$29</c:f>
              <c:strCache>
                <c:ptCount val="1"/>
                <c:pt idx="0">
                  <c:v>右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编辑贡献时长!$E$26:$F$26</c:f>
              <c:strCache>
                <c:ptCount val="2"/>
                <c:pt idx="0">
                  <c:v>汇总浏览时长</c:v>
                </c:pt>
                <c:pt idx="1">
                  <c:v>曝光量</c:v>
                </c:pt>
              </c:strCache>
            </c:strRef>
          </c:cat>
          <c:val>
            <c:numRef>
              <c:f>编辑贡献时长!$E$29:$F$29</c:f>
              <c:numCache>
                <c:formatCode>0%</c:formatCode>
                <c:ptCount val="2"/>
                <c:pt idx="0">
                  <c:v>7.5090700524263254E-2</c:v>
                </c:pt>
                <c:pt idx="1">
                  <c:v>8.4391985669940245E-2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9C-4DE9-8DE2-CB75826B9C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4802448"/>
        <c:axId val="1494812848"/>
      </c:barChart>
      <c:catAx>
        <c:axId val="149480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4812848"/>
        <c:crosses val="autoZero"/>
        <c:auto val="1"/>
        <c:lblAlgn val="ctr"/>
        <c:lblOffset val="100"/>
        <c:noMultiLvlLbl val="0"/>
      </c:catAx>
      <c:valAx>
        <c:axId val="14948128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480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267552199982159"/>
          <c:y val="0.15008333333333335"/>
          <c:w val="0.16217411106259302"/>
          <c:h val="7.0312992125984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172009</xdr:colOff>
      <xdr:row>1</xdr:row>
      <xdr:rowOff>9523</xdr:rowOff>
    </xdr:from>
    <xdr:to>
      <xdr:col>14</xdr:col>
      <xdr:colOff>571500</xdr:colOff>
      <xdr:row>18</xdr:row>
      <xdr:rowOff>174626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441162</xdr:colOff>
      <xdr:row>3</xdr:row>
      <xdr:rowOff>38554</xdr:rowOff>
    </xdr:from>
    <xdr:to>
      <xdr:col>14</xdr:col>
      <xdr:colOff>564987</xdr:colOff>
      <xdr:row>16</xdr:row>
      <xdr:rowOff>0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4214312" y="2781754"/>
          <a:ext cx="2295525" cy="1790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目标：左</a:t>
          </a:r>
          <a:r>
            <a:rPr lang="en-US" altLang="zh-CN" sz="1050" b="1">
              <a:latin typeface="微软雅黑" panose="020B0503020204020204" pitchFamily="34" charset="-122"/>
              <a:ea typeface="微软雅黑" panose="020B0503020204020204" pitchFamily="34" charset="-122"/>
            </a:rPr>
            <a:t>35%</a:t>
          </a:r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 中</a:t>
          </a:r>
          <a:r>
            <a:rPr lang="en-US" altLang="zh-CN" sz="1050" b="1">
              <a:latin typeface="微软雅黑" panose="020B0503020204020204" pitchFamily="34" charset="-122"/>
              <a:ea typeface="微软雅黑" panose="020B0503020204020204" pitchFamily="34" charset="-122"/>
            </a:rPr>
            <a:t>50% </a:t>
          </a:r>
          <a:r>
            <a:rPr lang="zh-CN" altLang="en-US" sz="1050" b="1">
              <a:latin typeface="微软雅黑" panose="020B0503020204020204" pitchFamily="34" charset="-122"/>
              <a:ea typeface="微软雅黑" panose="020B0503020204020204" pitchFamily="34" charset="-122"/>
            </a:rPr>
            <a:t>右</a:t>
          </a:r>
          <a:r>
            <a:rPr lang="en-US" altLang="zh-CN" sz="1050" b="1">
              <a:latin typeface="微软雅黑" panose="020B0503020204020204" pitchFamily="34" charset="-122"/>
              <a:ea typeface="微软雅黑" panose="020B0503020204020204" pitchFamily="34" charset="-122"/>
            </a:rPr>
            <a:t>15%</a:t>
          </a:r>
          <a:endParaRPr lang="zh-CN" altLang="en-US" sz="105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149"/>
  <sheetViews>
    <sheetView showGridLines="0" tabSelected="1" zoomScale="50" zoomScaleNormal="50" workbookViewId="0">
      <selection activeCell="A132" sqref="A132:XFD132"/>
    </sheetView>
  </sheetViews>
  <sheetFormatPr defaultColWidth="9" defaultRowHeight="16.5" x14ac:dyDescent="0.25"/>
  <cols>
    <col min="1" max="1" width="2.90625" style="22" customWidth="1"/>
    <col min="2" max="2" width="12.08984375" style="22" bestFit="1" customWidth="1"/>
    <col min="3" max="3" width="15.90625" style="22" bestFit="1" customWidth="1"/>
    <col min="4" max="4" width="30.6328125" style="22" customWidth="1"/>
    <col min="5" max="5" width="14.6328125" style="22" bestFit="1" customWidth="1"/>
    <col min="6" max="6" width="16" style="22" bestFit="1" customWidth="1"/>
    <col min="7" max="7" width="9.36328125" style="22" customWidth="1"/>
    <col min="8" max="8" width="16.453125" style="22" customWidth="1"/>
    <col min="9" max="9" width="12.90625" style="22" customWidth="1"/>
    <col min="10" max="10" width="15.08984375" style="22" customWidth="1"/>
    <col min="11" max="11" width="16.08984375" style="22" customWidth="1"/>
    <col min="12" max="12" width="17.90625" style="22" bestFit="1" customWidth="1"/>
    <col min="13" max="13" width="20" style="22" bestFit="1" customWidth="1"/>
    <col min="14" max="14" width="19.90625" style="22" customWidth="1"/>
    <col min="15" max="15" width="19.08984375" style="22" customWidth="1"/>
    <col min="16" max="16" width="13.08984375" style="22" customWidth="1"/>
    <col min="17" max="17" width="17.08984375" style="21" bestFit="1" customWidth="1"/>
    <col min="18" max="18" width="25.36328125" style="21" customWidth="1"/>
    <col min="19" max="19" width="13.7265625" style="22" customWidth="1"/>
    <col min="20" max="20" width="9.36328125" style="22" customWidth="1"/>
    <col min="21" max="16384" width="9" style="22"/>
  </cols>
  <sheetData>
    <row r="1" spans="1:183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83" s="28" customFormat="1" ht="52.5" customHeight="1" x14ac:dyDescent="0.4">
      <c r="A2" s="23"/>
      <c r="B2" s="24" t="s">
        <v>11</v>
      </c>
      <c r="C2" s="24" t="s">
        <v>0</v>
      </c>
      <c r="D2" s="24" t="s">
        <v>59</v>
      </c>
      <c r="E2" s="24" t="s">
        <v>1</v>
      </c>
      <c r="F2" s="24" t="s">
        <v>2</v>
      </c>
      <c r="G2" s="24" t="s">
        <v>3</v>
      </c>
      <c r="H2" s="24" t="s">
        <v>27</v>
      </c>
      <c r="I2" s="24" t="s">
        <v>28</v>
      </c>
      <c r="J2" s="24" t="s">
        <v>5</v>
      </c>
      <c r="K2" s="25" t="s">
        <v>60</v>
      </c>
      <c r="L2" s="25" t="s">
        <v>29</v>
      </c>
      <c r="M2" s="25" t="s">
        <v>30</v>
      </c>
      <c r="N2" s="25" t="s">
        <v>61</v>
      </c>
      <c r="O2" s="25" t="s">
        <v>62</v>
      </c>
      <c r="P2" s="26" t="s">
        <v>31</v>
      </c>
      <c r="Q2" s="26" t="s">
        <v>32</v>
      </c>
      <c r="R2" s="26" t="s">
        <v>33</v>
      </c>
      <c r="S2" s="26" t="s">
        <v>50</v>
      </c>
      <c r="T2" s="26" t="s">
        <v>63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</row>
    <row r="3" spans="1:183" s="27" customFormat="1" x14ac:dyDescent="0.4">
      <c r="B3" s="29">
        <v>20240716</v>
      </c>
      <c r="C3" s="29" t="s">
        <v>34</v>
      </c>
      <c r="D3" s="30" t="s">
        <v>35</v>
      </c>
      <c r="E3" s="30">
        <v>11003672</v>
      </c>
      <c r="F3" s="30">
        <v>2153476</v>
      </c>
      <c r="G3" s="31">
        <v>0.19570000000000001</v>
      </c>
      <c r="H3" s="30">
        <v>173004936</v>
      </c>
      <c r="I3" s="32">
        <v>80.92</v>
      </c>
      <c r="J3" s="32">
        <v>66.900000000000006</v>
      </c>
      <c r="K3" s="32">
        <v>77.36</v>
      </c>
      <c r="L3" s="30">
        <v>359193307</v>
      </c>
      <c r="M3" s="32">
        <v>85.06</v>
      </c>
      <c r="N3" s="29">
        <v>2112190</v>
      </c>
      <c r="O3" s="33">
        <v>7.8899999999999998E-2</v>
      </c>
      <c r="P3" s="30">
        <v>2236495</v>
      </c>
      <c r="Q3" s="32">
        <v>35.5</v>
      </c>
      <c r="R3" s="32">
        <v>56.21</v>
      </c>
      <c r="S3" s="31"/>
      <c r="T3" s="31"/>
    </row>
    <row r="4" spans="1:183" s="27" customFormat="1" x14ac:dyDescent="0.4">
      <c r="B4" s="29">
        <v>20240716</v>
      </c>
      <c r="C4" s="29" t="s">
        <v>34</v>
      </c>
      <c r="D4" s="30" t="s">
        <v>36</v>
      </c>
      <c r="E4" s="30">
        <v>9062370</v>
      </c>
      <c r="F4" s="30">
        <v>1588721</v>
      </c>
      <c r="G4" s="31">
        <v>0.17530000000000001</v>
      </c>
      <c r="H4" s="30">
        <v>186188371</v>
      </c>
      <c r="I4" s="32">
        <v>44.43</v>
      </c>
      <c r="J4" s="32">
        <v>71.39</v>
      </c>
      <c r="K4" s="32">
        <v>83.25</v>
      </c>
      <c r="L4" s="30"/>
      <c r="M4" s="32"/>
      <c r="N4" s="29"/>
      <c r="O4" s="33"/>
      <c r="P4" s="30"/>
      <c r="Q4" s="32"/>
      <c r="R4" s="32"/>
      <c r="S4" s="31"/>
      <c r="T4" s="31"/>
    </row>
    <row r="5" spans="1:183" s="27" customFormat="1" x14ac:dyDescent="0.4">
      <c r="B5" s="29">
        <v>20240716</v>
      </c>
      <c r="C5" s="29" t="s">
        <v>34</v>
      </c>
      <c r="D5" s="30" t="s">
        <v>37</v>
      </c>
      <c r="E5" s="30">
        <v>1405798</v>
      </c>
      <c r="F5" s="30">
        <v>283063</v>
      </c>
      <c r="G5" s="31">
        <v>0.2014</v>
      </c>
      <c r="H5" s="30">
        <v>25575778</v>
      </c>
      <c r="I5" s="32">
        <v>91.48</v>
      </c>
      <c r="J5" s="32">
        <v>50.93</v>
      </c>
      <c r="K5" s="32"/>
      <c r="L5" s="30"/>
      <c r="M5" s="32"/>
      <c r="N5" s="29"/>
      <c r="O5" s="33"/>
      <c r="P5" s="30"/>
      <c r="Q5" s="32"/>
      <c r="R5" s="32"/>
      <c r="S5" s="31"/>
      <c r="T5" s="31"/>
    </row>
    <row r="6" spans="1:183" s="27" customFormat="1" x14ac:dyDescent="0.4">
      <c r="B6" s="29">
        <v>20240716</v>
      </c>
      <c r="C6" s="29" t="s">
        <v>34</v>
      </c>
      <c r="D6" s="30" t="s">
        <v>38</v>
      </c>
      <c r="E6" s="30">
        <v>2882581</v>
      </c>
      <c r="F6" s="30">
        <v>547706</v>
      </c>
      <c r="G6" s="31">
        <v>0.19</v>
      </c>
      <c r="H6" s="30">
        <v>28714477</v>
      </c>
      <c r="I6" s="32">
        <v>52.83</v>
      </c>
      <c r="J6" s="32">
        <v>71.459999999999994</v>
      </c>
      <c r="K6" s="32"/>
      <c r="L6" s="30"/>
      <c r="M6" s="32"/>
      <c r="N6" s="29"/>
      <c r="O6" s="33"/>
      <c r="P6" s="30"/>
      <c r="Q6" s="32"/>
      <c r="R6" s="32"/>
      <c r="S6" s="31"/>
      <c r="T6" s="31"/>
    </row>
    <row r="7" spans="1:183" s="27" customFormat="1" x14ac:dyDescent="0.4">
      <c r="B7" s="29">
        <v>20240716</v>
      </c>
      <c r="C7" s="29" t="s">
        <v>34</v>
      </c>
      <c r="D7" s="30" t="s">
        <v>39</v>
      </c>
      <c r="E7" s="30">
        <v>4773991</v>
      </c>
      <c r="F7" s="30">
        <v>757952</v>
      </c>
      <c r="G7" s="31">
        <v>0.1588</v>
      </c>
      <c r="H7" s="30">
        <v>131898117</v>
      </c>
      <c r="I7" s="32">
        <v>21.38</v>
      </c>
      <c r="J7" s="32">
        <v>78.790000000000006</v>
      </c>
      <c r="K7" s="32"/>
      <c r="L7" s="30"/>
      <c r="M7" s="32"/>
      <c r="N7" s="29"/>
      <c r="O7" s="33"/>
      <c r="P7" s="30"/>
      <c r="Q7" s="32"/>
      <c r="R7" s="32"/>
      <c r="S7" s="31"/>
      <c r="T7" s="31"/>
    </row>
    <row r="8" spans="1:183" s="27" customFormat="1" x14ac:dyDescent="0.4">
      <c r="B8" s="29">
        <v>20240716</v>
      </c>
      <c r="C8" s="29" t="s">
        <v>34</v>
      </c>
      <c r="D8" s="30" t="s">
        <v>35</v>
      </c>
      <c r="E8" s="30">
        <v>11003672</v>
      </c>
      <c r="F8" s="30">
        <v>2153476</v>
      </c>
      <c r="G8" s="31">
        <v>0.19570000000000001</v>
      </c>
      <c r="H8" s="30">
        <v>173004936</v>
      </c>
      <c r="I8" s="32">
        <v>80.92</v>
      </c>
      <c r="J8" s="32">
        <v>66.900000000000006</v>
      </c>
      <c r="K8" s="32">
        <v>77.36</v>
      </c>
      <c r="L8" s="30">
        <v>359193307</v>
      </c>
      <c r="M8" s="32">
        <v>85.06</v>
      </c>
      <c r="N8" s="29">
        <v>2112190</v>
      </c>
      <c r="O8" s="33">
        <v>7.8899999999999998E-2</v>
      </c>
      <c r="P8" s="30">
        <v>2236495</v>
      </c>
      <c r="Q8" s="32">
        <v>35.5</v>
      </c>
      <c r="R8" s="32">
        <v>56.21</v>
      </c>
      <c r="S8" s="31"/>
      <c r="T8" s="31"/>
    </row>
    <row r="9" spans="1:183" s="27" customFormat="1" x14ac:dyDescent="0.4">
      <c r="B9" s="29">
        <v>20240716</v>
      </c>
      <c r="C9" s="29" t="s">
        <v>34</v>
      </c>
      <c r="D9" s="30" t="s">
        <v>36</v>
      </c>
      <c r="E9" s="30">
        <v>9062370</v>
      </c>
      <c r="F9" s="30">
        <v>1588721</v>
      </c>
      <c r="G9" s="31">
        <v>0.17530000000000001</v>
      </c>
      <c r="H9" s="30">
        <v>186188371</v>
      </c>
      <c r="I9" s="32">
        <v>44.43</v>
      </c>
      <c r="J9" s="32">
        <v>71.39</v>
      </c>
      <c r="K9" s="32">
        <v>83.25</v>
      </c>
      <c r="L9" s="30"/>
      <c r="M9" s="32"/>
      <c r="N9" s="29"/>
      <c r="O9" s="33"/>
      <c r="P9" s="30"/>
      <c r="Q9" s="32"/>
      <c r="R9" s="32"/>
      <c r="S9" s="31"/>
      <c r="T9" s="31"/>
    </row>
    <row r="10" spans="1:183" s="27" customFormat="1" x14ac:dyDescent="0.4">
      <c r="B10" s="29">
        <v>20240716</v>
      </c>
      <c r="C10" s="29" t="s">
        <v>34</v>
      </c>
      <c r="D10" s="30" t="s">
        <v>37</v>
      </c>
      <c r="E10" s="30">
        <v>1405798</v>
      </c>
      <c r="F10" s="30">
        <v>283063</v>
      </c>
      <c r="G10" s="31">
        <v>0.2014</v>
      </c>
      <c r="H10" s="30">
        <v>25575778</v>
      </c>
      <c r="I10" s="32">
        <v>91.48</v>
      </c>
      <c r="J10" s="32">
        <v>50.93</v>
      </c>
      <c r="K10" s="32"/>
      <c r="L10" s="30"/>
      <c r="M10" s="32"/>
      <c r="N10" s="29"/>
      <c r="O10" s="33"/>
      <c r="P10" s="30"/>
      <c r="Q10" s="32"/>
      <c r="R10" s="32"/>
      <c r="S10" s="31"/>
      <c r="T10" s="31"/>
    </row>
    <row r="11" spans="1:183" s="27" customFormat="1" x14ac:dyDescent="0.4">
      <c r="B11" s="29">
        <v>20240716</v>
      </c>
      <c r="C11" s="29" t="s">
        <v>34</v>
      </c>
      <c r="D11" s="30" t="s">
        <v>38</v>
      </c>
      <c r="E11" s="30">
        <v>2882581</v>
      </c>
      <c r="F11" s="30">
        <v>547706</v>
      </c>
      <c r="G11" s="31">
        <v>0.19</v>
      </c>
      <c r="H11" s="30">
        <v>28714477</v>
      </c>
      <c r="I11" s="32">
        <v>52.83</v>
      </c>
      <c r="J11" s="32">
        <v>71.459999999999994</v>
      </c>
      <c r="K11" s="32"/>
      <c r="L11" s="30"/>
      <c r="M11" s="32"/>
      <c r="N11" s="29"/>
      <c r="O11" s="33"/>
      <c r="P11" s="30"/>
      <c r="Q11" s="32"/>
      <c r="R11" s="32"/>
      <c r="S11" s="31"/>
      <c r="T11" s="31"/>
    </row>
    <row r="12" spans="1:183" s="27" customFormat="1" x14ac:dyDescent="0.4">
      <c r="B12" s="29">
        <v>20240716</v>
      </c>
      <c r="C12" s="29" t="s">
        <v>34</v>
      </c>
      <c r="D12" s="30" t="s">
        <v>39</v>
      </c>
      <c r="E12" s="30">
        <v>4773991</v>
      </c>
      <c r="F12" s="30">
        <v>757952</v>
      </c>
      <c r="G12" s="31">
        <v>0.1588</v>
      </c>
      <c r="H12" s="30">
        <v>131898117</v>
      </c>
      <c r="I12" s="32">
        <v>21.38</v>
      </c>
      <c r="J12" s="32">
        <v>78.790000000000006</v>
      </c>
      <c r="K12" s="32"/>
      <c r="L12" s="30"/>
      <c r="M12" s="32"/>
      <c r="N12" s="29"/>
      <c r="O12" s="33"/>
      <c r="P12" s="30"/>
      <c r="Q12" s="32"/>
      <c r="R12" s="32"/>
      <c r="S12" s="31"/>
      <c r="T12" s="31"/>
    </row>
    <row r="13" spans="1:183" s="27" customFormat="1" x14ac:dyDescent="0.4">
      <c r="B13" s="29">
        <v>20240715</v>
      </c>
      <c r="C13" s="29" t="s">
        <v>34</v>
      </c>
      <c r="D13" s="30" t="s">
        <v>35</v>
      </c>
      <c r="E13" s="30">
        <v>11427199</v>
      </c>
      <c r="F13" s="30">
        <v>2282954</v>
      </c>
      <c r="G13" s="31">
        <v>0.19980000000000001</v>
      </c>
      <c r="H13" s="30">
        <v>194690706</v>
      </c>
      <c r="I13" s="32">
        <v>85.99</v>
      </c>
      <c r="J13" s="32">
        <v>65.95</v>
      </c>
      <c r="K13" s="32">
        <v>84.91</v>
      </c>
      <c r="L13" s="30">
        <v>397196627</v>
      </c>
      <c r="M13" s="32">
        <v>92.94</v>
      </c>
      <c r="N13" s="29">
        <v>2168089</v>
      </c>
      <c r="O13" s="33">
        <v>8.3199999999999996E-2</v>
      </c>
      <c r="P13" s="30">
        <v>2292791</v>
      </c>
      <c r="Q13" s="32">
        <v>36.31</v>
      </c>
      <c r="R13" s="32">
        <v>56.59</v>
      </c>
      <c r="S13" s="31">
        <v>0.6351383272888963</v>
      </c>
      <c r="T13" s="31">
        <v>0.57911198683858134</v>
      </c>
    </row>
    <row r="14" spans="1:183" s="27" customFormat="1" x14ac:dyDescent="0.4">
      <c r="B14" s="29">
        <v>20240715</v>
      </c>
      <c r="C14" s="29" t="s">
        <v>34</v>
      </c>
      <c r="D14" s="30" t="s">
        <v>36</v>
      </c>
      <c r="E14" s="30">
        <v>9780851</v>
      </c>
      <c r="F14" s="30">
        <v>1626400</v>
      </c>
      <c r="G14" s="31">
        <v>0.1663</v>
      </c>
      <c r="H14" s="30">
        <v>202505921</v>
      </c>
      <c r="I14" s="32">
        <v>44.58</v>
      </c>
      <c r="J14" s="32">
        <v>71.73</v>
      </c>
      <c r="K14" s="32">
        <v>88.32</v>
      </c>
      <c r="L14" s="30"/>
      <c r="M14" s="32"/>
      <c r="N14" s="29"/>
      <c r="O14" s="33"/>
      <c r="P14" s="30"/>
      <c r="Q14" s="32"/>
      <c r="R14" s="32"/>
      <c r="S14" s="31"/>
      <c r="T14" s="31">
        <v>0.55539678194338904</v>
      </c>
    </row>
    <row r="15" spans="1:183" s="27" customFormat="1" x14ac:dyDescent="0.4">
      <c r="B15" s="29">
        <v>20240715</v>
      </c>
      <c r="C15" s="29" t="s">
        <v>34</v>
      </c>
      <c r="D15" s="30" t="s">
        <v>37</v>
      </c>
      <c r="E15" s="30">
        <v>1873644</v>
      </c>
      <c r="F15" s="30">
        <v>318841</v>
      </c>
      <c r="G15" s="31">
        <v>0.17019999999999999</v>
      </c>
      <c r="H15" s="30">
        <v>25255395</v>
      </c>
      <c r="I15" s="32">
        <v>79.930000000000007</v>
      </c>
      <c r="J15" s="32">
        <v>57.03</v>
      </c>
      <c r="K15" s="32"/>
      <c r="L15" s="30"/>
      <c r="M15" s="32"/>
      <c r="N15" s="29"/>
      <c r="O15" s="33"/>
      <c r="P15" s="30"/>
      <c r="Q15" s="32"/>
      <c r="R15" s="32"/>
      <c r="S15" s="31"/>
      <c r="T15" s="31">
        <v>0.28408147853892413</v>
      </c>
    </row>
    <row r="16" spans="1:183" s="27" customFormat="1" x14ac:dyDescent="0.4">
      <c r="B16" s="29">
        <v>20240715</v>
      </c>
      <c r="C16" s="29" t="s">
        <v>34</v>
      </c>
      <c r="D16" s="30" t="s">
        <v>38</v>
      </c>
      <c r="E16" s="30">
        <v>2520127</v>
      </c>
      <c r="F16" s="30">
        <v>450197</v>
      </c>
      <c r="G16" s="31">
        <v>0.17860000000000001</v>
      </c>
      <c r="H16" s="30">
        <v>23161364</v>
      </c>
      <c r="I16" s="32">
        <v>51.92</v>
      </c>
      <c r="J16" s="32">
        <v>69.459999999999994</v>
      </c>
      <c r="K16" s="32"/>
      <c r="L16" s="30"/>
      <c r="M16" s="32"/>
      <c r="N16" s="29"/>
      <c r="O16" s="33"/>
      <c r="P16" s="30"/>
      <c r="Q16" s="32"/>
      <c r="R16" s="32"/>
      <c r="S16" s="31"/>
      <c r="T16" s="31">
        <v>0.36155982668592379</v>
      </c>
    </row>
    <row r="17" spans="2:20" s="27" customFormat="1" x14ac:dyDescent="0.4">
      <c r="B17" s="29">
        <v>20240715</v>
      </c>
      <c r="C17" s="29" t="s">
        <v>34</v>
      </c>
      <c r="D17" s="30" t="s">
        <v>39</v>
      </c>
      <c r="E17" s="30">
        <v>5387080</v>
      </c>
      <c r="F17" s="30">
        <v>857362</v>
      </c>
      <c r="G17" s="31">
        <v>0.15920000000000001</v>
      </c>
      <c r="H17" s="30">
        <v>154089162</v>
      </c>
      <c r="I17" s="32">
        <v>28.01</v>
      </c>
      <c r="J17" s="32">
        <v>78.22</v>
      </c>
      <c r="K17" s="32"/>
      <c r="L17" s="30"/>
      <c r="M17" s="32"/>
      <c r="N17" s="29"/>
      <c r="O17" s="33"/>
      <c r="P17" s="30"/>
      <c r="Q17" s="32"/>
      <c r="R17" s="32"/>
      <c r="S17" s="31"/>
      <c r="T17" s="31">
        <v>0.50641019853558566</v>
      </c>
    </row>
    <row r="18" spans="2:20" s="27" customFormat="1" x14ac:dyDescent="0.4">
      <c r="B18" s="29">
        <v>20240714</v>
      </c>
      <c r="C18" s="29" t="s">
        <v>34</v>
      </c>
      <c r="D18" s="30" t="s">
        <v>35</v>
      </c>
      <c r="E18" s="30">
        <v>11182247</v>
      </c>
      <c r="F18" s="30">
        <v>2557164</v>
      </c>
      <c r="G18" s="31">
        <v>0.22869999999999999</v>
      </c>
      <c r="H18" s="30">
        <v>167674819</v>
      </c>
      <c r="I18" s="32">
        <v>64.98</v>
      </c>
      <c r="J18" s="32">
        <v>82.6</v>
      </c>
      <c r="K18" s="32">
        <v>75.290000000000006</v>
      </c>
      <c r="L18" s="30">
        <v>409087860</v>
      </c>
      <c r="M18" s="32">
        <v>87.29</v>
      </c>
      <c r="N18" s="29">
        <v>2104148</v>
      </c>
      <c r="O18" s="33">
        <v>8.8700000000000001E-2</v>
      </c>
      <c r="P18" s="30">
        <v>2227159</v>
      </c>
      <c r="Q18" s="32">
        <v>36.200000000000003</v>
      </c>
      <c r="R18" s="32">
        <v>56.88</v>
      </c>
      <c r="S18" s="31">
        <v>0.62414318298982319</v>
      </c>
      <c r="T18" s="31">
        <v>0.56837987808799673</v>
      </c>
    </row>
    <row r="19" spans="2:20" s="27" customFormat="1" x14ac:dyDescent="0.4">
      <c r="B19" s="29">
        <v>20240714</v>
      </c>
      <c r="C19" s="29" t="s">
        <v>34</v>
      </c>
      <c r="D19" s="30" t="s">
        <v>36</v>
      </c>
      <c r="E19" s="30">
        <v>9083365</v>
      </c>
      <c r="F19" s="30">
        <v>1975061</v>
      </c>
      <c r="G19" s="31">
        <v>0.21740000000000001</v>
      </c>
      <c r="H19" s="30">
        <v>241413041</v>
      </c>
      <c r="I19" s="32">
        <v>43.39</v>
      </c>
      <c r="J19" s="32">
        <v>74.540000000000006</v>
      </c>
      <c r="K19" s="32">
        <v>108.4</v>
      </c>
      <c r="L19" s="30"/>
      <c r="M19" s="32"/>
      <c r="N19" s="29"/>
      <c r="O19" s="33"/>
      <c r="P19" s="30"/>
      <c r="Q19" s="32"/>
      <c r="R19" s="32"/>
      <c r="S19" s="31"/>
      <c r="T19" s="31">
        <v>0.54646068660984759</v>
      </c>
    </row>
    <row r="20" spans="2:20" s="27" customFormat="1" x14ac:dyDescent="0.4">
      <c r="B20" s="29">
        <v>20240714</v>
      </c>
      <c r="C20" s="29" t="s">
        <v>34</v>
      </c>
      <c r="D20" s="30" t="s">
        <v>37</v>
      </c>
      <c r="E20" s="30">
        <v>1128596</v>
      </c>
      <c r="F20" s="30">
        <v>242726</v>
      </c>
      <c r="G20" s="31">
        <v>0.21510000000000001</v>
      </c>
      <c r="H20" s="30">
        <v>24706628</v>
      </c>
      <c r="I20" s="32">
        <v>102.51</v>
      </c>
      <c r="J20" s="32">
        <v>64.89</v>
      </c>
      <c r="K20" s="32"/>
      <c r="L20" s="30"/>
      <c r="M20" s="32"/>
      <c r="N20" s="29"/>
      <c r="O20" s="33"/>
      <c r="P20" s="30"/>
      <c r="Q20" s="32"/>
      <c r="R20" s="32"/>
      <c r="S20" s="31"/>
      <c r="T20" s="31">
        <v>0.35143549301582389</v>
      </c>
    </row>
    <row r="21" spans="2:20" s="27" customFormat="1" x14ac:dyDescent="0.4">
      <c r="B21" s="29">
        <v>20240714</v>
      </c>
      <c r="C21" s="29" t="s">
        <v>34</v>
      </c>
      <c r="D21" s="30" t="s">
        <v>38</v>
      </c>
      <c r="E21" s="30">
        <v>2419162</v>
      </c>
      <c r="F21" s="30">
        <v>493574</v>
      </c>
      <c r="G21" s="31">
        <v>0.20399999999999999</v>
      </c>
      <c r="H21" s="30">
        <v>23629198</v>
      </c>
      <c r="I21" s="32">
        <v>48.13</v>
      </c>
      <c r="J21" s="32">
        <v>72.62</v>
      </c>
      <c r="K21" s="32"/>
      <c r="L21" s="30"/>
      <c r="M21" s="32"/>
      <c r="N21" s="29"/>
      <c r="O21" s="33"/>
      <c r="P21" s="30"/>
      <c r="Q21" s="32"/>
      <c r="R21" s="32"/>
      <c r="S21" s="31"/>
      <c r="T21" s="31">
        <v>0.31368805639890912</v>
      </c>
    </row>
    <row r="22" spans="2:20" s="27" customFormat="1" x14ac:dyDescent="0.4">
      <c r="B22" s="29">
        <v>20240714</v>
      </c>
      <c r="C22" s="29" t="s">
        <v>34</v>
      </c>
      <c r="D22" s="30" t="s">
        <v>39</v>
      </c>
      <c r="E22" s="30">
        <v>5535607</v>
      </c>
      <c r="F22" s="30">
        <v>1238761</v>
      </c>
      <c r="G22" s="31">
        <v>0.2238</v>
      </c>
      <c r="H22" s="30">
        <v>193077216</v>
      </c>
      <c r="I22" s="32">
        <v>30.41</v>
      </c>
      <c r="J22" s="32">
        <v>77.099999999999994</v>
      </c>
      <c r="K22" s="32"/>
      <c r="L22" s="30"/>
      <c r="M22" s="32"/>
      <c r="N22" s="29"/>
      <c r="O22" s="33"/>
      <c r="P22" s="30"/>
      <c r="Q22" s="32"/>
      <c r="R22" s="32"/>
      <c r="S22" s="31"/>
      <c r="T22" s="31">
        <v>0.4799970063668163</v>
      </c>
    </row>
    <row r="23" spans="2:20" s="27" customFormat="1" x14ac:dyDescent="0.4">
      <c r="B23" s="29">
        <v>20240713</v>
      </c>
      <c r="C23" s="29" t="s">
        <v>34</v>
      </c>
      <c r="D23" s="30" t="s">
        <v>35</v>
      </c>
      <c r="E23" s="30">
        <v>10646417</v>
      </c>
      <c r="F23" s="30">
        <v>2086991</v>
      </c>
      <c r="G23" s="31">
        <v>0.19600000000000001</v>
      </c>
      <c r="H23" s="30">
        <v>167342821</v>
      </c>
      <c r="I23" s="32">
        <v>80.7</v>
      </c>
      <c r="J23" s="32">
        <v>65.13</v>
      </c>
      <c r="K23" s="32">
        <v>78.239999999999995</v>
      </c>
      <c r="L23" s="30">
        <v>379720006</v>
      </c>
      <c r="M23" s="32">
        <v>88.68</v>
      </c>
      <c r="N23" s="29">
        <v>2018971</v>
      </c>
      <c r="O23" s="33">
        <v>8.7099999999999997E-2</v>
      </c>
      <c r="P23" s="30">
        <v>2138704</v>
      </c>
      <c r="Q23" s="32">
        <v>35.520000000000003</v>
      </c>
      <c r="R23" s="32">
        <v>56.43</v>
      </c>
      <c r="S23" s="31">
        <v>0.66306625462279523</v>
      </c>
      <c r="T23" s="31">
        <v>0.62086100861008608</v>
      </c>
    </row>
    <row r="24" spans="2:20" s="27" customFormat="1" x14ac:dyDescent="0.4">
      <c r="B24" s="29">
        <v>20240713</v>
      </c>
      <c r="C24" s="29" t="s">
        <v>34</v>
      </c>
      <c r="D24" s="30" t="s">
        <v>36</v>
      </c>
      <c r="E24" s="30">
        <v>8412031</v>
      </c>
      <c r="F24" s="30">
        <v>1655776</v>
      </c>
      <c r="G24" s="31">
        <v>0.1968</v>
      </c>
      <c r="H24" s="30">
        <v>212377185</v>
      </c>
      <c r="I24" s="32">
        <v>47.31</v>
      </c>
      <c r="J24" s="32">
        <v>75.95</v>
      </c>
      <c r="K24" s="32">
        <v>99.3</v>
      </c>
      <c r="L24" s="30"/>
      <c r="M24" s="32"/>
      <c r="N24" s="29"/>
      <c r="O24" s="33"/>
      <c r="P24" s="30"/>
      <c r="Q24" s="32"/>
      <c r="R24" s="32"/>
      <c r="S24" s="31"/>
      <c r="T24" s="31">
        <v>0.59606119374949895</v>
      </c>
    </row>
    <row r="25" spans="2:20" s="27" customFormat="1" x14ac:dyDescent="0.4">
      <c r="B25" s="29">
        <v>20240713</v>
      </c>
      <c r="C25" s="29" t="s">
        <v>34</v>
      </c>
      <c r="D25" s="30" t="s">
        <v>37</v>
      </c>
      <c r="E25" s="30">
        <v>1157355</v>
      </c>
      <c r="F25" s="30">
        <v>251857</v>
      </c>
      <c r="G25" s="31">
        <v>0.21759999999999999</v>
      </c>
      <c r="H25" s="30">
        <v>35270787</v>
      </c>
      <c r="I25" s="32">
        <v>141.63</v>
      </c>
      <c r="J25" s="32">
        <v>60.29</v>
      </c>
      <c r="K25" s="32"/>
      <c r="L25" s="30"/>
      <c r="M25" s="32"/>
      <c r="N25" s="29"/>
      <c r="O25" s="33"/>
      <c r="P25" s="30"/>
      <c r="Q25" s="32"/>
      <c r="R25" s="32"/>
      <c r="S25" s="31"/>
      <c r="T25" s="31">
        <v>0.25007918987539168</v>
      </c>
    </row>
    <row r="26" spans="2:20" s="27" customFormat="1" x14ac:dyDescent="0.4">
      <c r="B26" s="29">
        <v>20240713</v>
      </c>
      <c r="C26" s="29" t="s">
        <v>34</v>
      </c>
      <c r="D26" s="30" t="s">
        <v>38</v>
      </c>
      <c r="E26" s="30">
        <v>2673333</v>
      </c>
      <c r="F26" s="30">
        <v>522887</v>
      </c>
      <c r="G26" s="31">
        <v>0.1956</v>
      </c>
      <c r="H26" s="30">
        <v>25186551</v>
      </c>
      <c r="I26" s="32">
        <v>48.4</v>
      </c>
      <c r="J26" s="32">
        <v>75.92</v>
      </c>
      <c r="K26" s="32"/>
      <c r="L26" s="30"/>
      <c r="M26" s="32"/>
      <c r="N26" s="29"/>
      <c r="O26" s="33"/>
      <c r="P26" s="30"/>
      <c r="Q26" s="32"/>
      <c r="R26" s="32"/>
      <c r="S26" s="31"/>
      <c r="T26" s="31">
        <v>0.32826540396801068</v>
      </c>
    </row>
    <row r="27" spans="2:20" s="27" customFormat="1" x14ac:dyDescent="0.4">
      <c r="B27" s="29">
        <v>20240713</v>
      </c>
      <c r="C27" s="29" t="s">
        <v>34</v>
      </c>
      <c r="D27" s="30" t="s">
        <v>39</v>
      </c>
      <c r="E27" s="30">
        <v>4581343</v>
      </c>
      <c r="F27" s="30">
        <v>881032</v>
      </c>
      <c r="G27" s="31">
        <v>0.1923</v>
      </c>
      <c r="H27" s="30">
        <v>151919847</v>
      </c>
      <c r="I27" s="32">
        <v>20.350000000000001</v>
      </c>
      <c r="J27" s="32">
        <v>80.33</v>
      </c>
      <c r="K27" s="32"/>
      <c r="L27" s="30"/>
      <c r="M27" s="32"/>
      <c r="N27" s="29"/>
      <c r="O27" s="33"/>
      <c r="P27" s="30"/>
      <c r="Q27" s="32"/>
      <c r="R27" s="32"/>
      <c r="S27" s="31"/>
      <c r="T27" s="31">
        <v>0.62046111758711275</v>
      </c>
    </row>
    <row r="28" spans="2:20" s="27" customFormat="1" x14ac:dyDescent="0.4">
      <c r="B28" s="29">
        <v>20240712</v>
      </c>
      <c r="C28" s="29" t="s">
        <v>34</v>
      </c>
      <c r="D28" s="30" t="s">
        <v>35</v>
      </c>
      <c r="E28" s="30">
        <v>11410946</v>
      </c>
      <c r="F28" s="30">
        <v>2134133</v>
      </c>
      <c r="G28" s="31">
        <v>0.187</v>
      </c>
      <c r="H28" s="30">
        <v>179346551</v>
      </c>
      <c r="I28" s="32">
        <v>84.61</v>
      </c>
      <c r="J28" s="32">
        <v>64.78</v>
      </c>
      <c r="K28" s="32">
        <v>80.680000000000007</v>
      </c>
      <c r="L28" s="30">
        <v>384842367</v>
      </c>
      <c r="M28" s="32">
        <v>87.3</v>
      </c>
      <c r="N28" s="29">
        <v>2100063</v>
      </c>
      <c r="O28" s="33">
        <v>8.3500000000000005E-2</v>
      </c>
      <c r="P28" s="30">
        <v>2223074</v>
      </c>
      <c r="Q28" s="32">
        <v>35.83</v>
      </c>
      <c r="R28" s="32">
        <v>55.31</v>
      </c>
      <c r="S28" s="31">
        <v>0.63382853065916211</v>
      </c>
      <c r="T28" s="31">
        <v>0.58223060079000821</v>
      </c>
    </row>
    <row r="29" spans="2:20" s="27" customFormat="1" x14ac:dyDescent="0.4">
      <c r="B29" s="29">
        <v>20240712</v>
      </c>
      <c r="C29" s="29" t="s">
        <v>34</v>
      </c>
      <c r="D29" s="30" t="s">
        <v>36</v>
      </c>
      <c r="E29" s="30">
        <v>9152106</v>
      </c>
      <c r="F29" s="30">
        <v>1732521</v>
      </c>
      <c r="G29" s="31">
        <v>0.1893</v>
      </c>
      <c r="H29" s="30">
        <v>205495816</v>
      </c>
      <c r="I29" s="32">
        <v>44.76</v>
      </c>
      <c r="J29" s="32">
        <v>73.78</v>
      </c>
      <c r="K29" s="32">
        <v>92.44</v>
      </c>
      <c r="L29" s="30"/>
      <c r="M29" s="32"/>
      <c r="N29" s="29"/>
      <c r="O29" s="33"/>
      <c r="P29" s="30"/>
      <c r="Q29" s="32"/>
      <c r="R29" s="32"/>
      <c r="S29" s="31"/>
      <c r="T29" s="31">
        <v>0.55367859702469957</v>
      </c>
    </row>
    <row r="30" spans="2:20" s="27" customFormat="1" x14ac:dyDescent="0.4">
      <c r="B30" s="29">
        <v>20240712</v>
      </c>
      <c r="C30" s="29" t="s">
        <v>34</v>
      </c>
      <c r="D30" s="30" t="s">
        <v>37</v>
      </c>
      <c r="E30" s="30">
        <v>1482393</v>
      </c>
      <c r="F30" s="30">
        <v>295091</v>
      </c>
      <c r="G30" s="31">
        <v>0.1991</v>
      </c>
      <c r="H30" s="30">
        <v>30085086</v>
      </c>
      <c r="I30" s="32">
        <v>103.06</v>
      </c>
      <c r="J30" s="32">
        <v>57.62</v>
      </c>
      <c r="K30" s="32"/>
      <c r="L30" s="30"/>
      <c r="M30" s="32"/>
      <c r="N30" s="29"/>
      <c r="O30" s="33"/>
      <c r="P30" s="30"/>
      <c r="Q30" s="32"/>
      <c r="R30" s="32"/>
      <c r="S30" s="31"/>
      <c r="T30" s="31">
        <v>0.27273956529514648</v>
      </c>
    </row>
    <row r="31" spans="2:20" s="27" customFormat="1" x14ac:dyDescent="0.4">
      <c r="B31" s="29">
        <v>20240712</v>
      </c>
      <c r="C31" s="29" t="s">
        <v>34</v>
      </c>
      <c r="D31" s="30" t="s">
        <v>38</v>
      </c>
      <c r="E31" s="30">
        <v>2933201</v>
      </c>
      <c r="F31" s="30">
        <v>591701</v>
      </c>
      <c r="G31" s="31">
        <v>0.20169999999999999</v>
      </c>
      <c r="H31" s="30">
        <v>24525759</v>
      </c>
      <c r="I31" s="32">
        <v>41.59</v>
      </c>
      <c r="J31" s="32">
        <v>76.48</v>
      </c>
      <c r="K31" s="32"/>
      <c r="L31" s="30"/>
      <c r="M31" s="32"/>
      <c r="N31" s="29"/>
      <c r="O31" s="33"/>
      <c r="P31" s="30"/>
      <c r="Q31" s="32"/>
      <c r="R31" s="32"/>
      <c r="S31" s="31"/>
      <c r="T31" s="31">
        <v>0.33519023164360051</v>
      </c>
    </row>
    <row r="32" spans="2:20" s="27" customFormat="1" x14ac:dyDescent="0.4">
      <c r="B32" s="29">
        <v>20240712</v>
      </c>
      <c r="C32" s="29" t="s">
        <v>34</v>
      </c>
      <c r="D32" s="30" t="s">
        <v>39</v>
      </c>
      <c r="E32" s="30">
        <v>4736512</v>
      </c>
      <c r="F32" s="30">
        <v>845729</v>
      </c>
      <c r="G32" s="31">
        <v>0.17860000000000001</v>
      </c>
      <c r="H32" s="30">
        <v>150884970</v>
      </c>
      <c r="I32" s="32">
        <v>27.13</v>
      </c>
      <c r="J32" s="32">
        <v>77.41</v>
      </c>
      <c r="K32" s="32"/>
      <c r="L32" s="30"/>
      <c r="M32" s="32"/>
      <c r="N32" s="29"/>
      <c r="O32" s="33"/>
      <c r="P32" s="30"/>
      <c r="Q32" s="32"/>
      <c r="R32" s="32"/>
      <c r="S32" s="31"/>
      <c r="T32" s="31">
        <v>0.54810803140667863</v>
      </c>
    </row>
    <row r="33" spans="2:20" s="27" customFormat="1" x14ac:dyDescent="0.4">
      <c r="B33" s="29">
        <v>20240711</v>
      </c>
      <c r="C33" s="29" t="s">
        <v>34</v>
      </c>
      <c r="D33" s="30" t="s">
        <v>35</v>
      </c>
      <c r="E33" s="30">
        <v>11678504</v>
      </c>
      <c r="F33" s="30">
        <v>2402238</v>
      </c>
      <c r="G33" s="31">
        <v>0.20569999999999999</v>
      </c>
      <c r="H33" s="30">
        <v>196281238</v>
      </c>
      <c r="I33" s="32">
        <v>82.53</v>
      </c>
      <c r="J33" s="32">
        <v>68.02</v>
      </c>
      <c r="K33" s="32">
        <v>87.41</v>
      </c>
      <c r="L33" s="30">
        <v>411373048</v>
      </c>
      <c r="M33" s="32">
        <v>96.92</v>
      </c>
      <c r="N33" s="29">
        <v>2123966</v>
      </c>
      <c r="O33" s="33">
        <v>8.5800000000000001E-2</v>
      </c>
      <c r="P33" s="30">
        <v>2245475</v>
      </c>
      <c r="Q33" s="32">
        <v>37.11</v>
      </c>
      <c r="R33" s="32">
        <v>55.96</v>
      </c>
      <c r="S33" s="31">
        <v>0.64712779232889484</v>
      </c>
      <c r="T33" s="31">
        <v>0.58358806210226455</v>
      </c>
    </row>
    <row r="34" spans="2:20" s="27" customFormat="1" x14ac:dyDescent="0.4">
      <c r="B34" s="29">
        <v>20240711</v>
      </c>
      <c r="C34" s="29" t="s">
        <v>34</v>
      </c>
      <c r="D34" s="30" t="s">
        <v>36</v>
      </c>
      <c r="E34" s="30">
        <v>9279528</v>
      </c>
      <c r="F34" s="30">
        <v>1792268</v>
      </c>
      <c r="G34" s="31">
        <v>0.19309999999999999</v>
      </c>
      <c r="H34" s="30">
        <v>215091810</v>
      </c>
      <c r="I34" s="32">
        <v>44.2</v>
      </c>
      <c r="J34" s="32">
        <v>72.92</v>
      </c>
      <c r="K34" s="32">
        <v>95.79</v>
      </c>
      <c r="L34" s="30"/>
      <c r="M34" s="32"/>
      <c r="N34" s="29"/>
      <c r="O34" s="33"/>
      <c r="P34" s="30"/>
      <c r="Q34" s="32"/>
      <c r="R34" s="32"/>
      <c r="S34" s="31"/>
      <c r="T34" s="31">
        <v>0.57626788036410925</v>
      </c>
    </row>
    <row r="35" spans="2:20" s="27" customFormat="1" x14ac:dyDescent="0.4">
      <c r="B35" s="29">
        <v>20240711</v>
      </c>
      <c r="C35" s="29" t="s">
        <v>34</v>
      </c>
      <c r="D35" s="30" t="s">
        <v>37</v>
      </c>
      <c r="E35" s="30">
        <v>1638886</v>
      </c>
      <c r="F35" s="30">
        <v>392860</v>
      </c>
      <c r="G35" s="31">
        <v>0.2397</v>
      </c>
      <c r="H35" s="30">
        <v>37480582</v>
      </c>
      <c r="I35" s="32">
        <v>96.59</v>
      </c>
      <c r="J35" s="32">
        <v>57.11</v>
      </c>
      <c r="K35" s="32"/>
      <c r="L35" s="30"/>
      <c r="M35" s="32"/>
      <c r="N35" s="29"/>
      <c r="O35" s="33"/>
      <c r="P35" s="30"/>
      <c r="Q35" s="32"/>
      <c r="R35" s="32"/>
      <c r="S35" s="31"/>
      <c r="T35" s="31">
        <v>0.28913813344086481</v>
      </c>
    </row>
    <row r="36" spans="2:20" s="27" customFormat="1" x14ac:dyDescent="0.4">
      <c r="B36" s="29">
        <v>20240711</v>
      </c>
      <c r="C36" s="29" t="s">
        <v>34</v>
      </c>
      <c r="D36" s="30" t="s">
        <v>38</v>
      </c>
      <c r="E36" s="30">
        <v>2438564</v>
      </c>
      <c r="F36" s="30">
        <v>478948</v>
      </c>
      <c r="G36" s="31">
        <v>0.19639999999999999</v>
      </c>
      <c r="H36" s="30">
        <v>21570553</v>
      </c>
      <c r="I36" s="32">
        <v>45.39</v>
      </c>
      <c r="J36" s="32">
        <v>74.84</v>
      </c>
      <c r="K36" s="32"/>
      <c r="L36" s="30"/>
      <c r="M36" s="32"/>
      <c r="N36" s="29"/>
      <c r="O36" s="33"/>
      <c r="P36" s="30"/>
      <c r="Q36" s="32"/>
      <c r="R36" s="32"/>
      <c r="S36" s="31"/>
      <c r="T36" s="31">
        <v>0.40479421076436001</v>
      </c>
    </row>
    <row r="37" spans="2:20" s="27" customFormat="1" x14ac:dyDescent="0.4">
      <c r="B37" s="29">
        <v>20240711</v>
      </c>
      <c r="C37" s="29" t="s">
        <v>34</v>
      </c>
      <c r="D37" s="30" t="s">
        <v>39</v>
      </c>
      <c r="E37" s="30">
        <v>5202078</v>
      </c>
      <c r="F37" s="30">
        <v>920460</v>
      </c>
      <c r="G37" s="31">
        <v>0.1769</v>
      </c>
      <c r="H37" s="30">
        <v>156040674</v>
      </c>
      <c r="I37" s="32">
        <v>21.87</v>
      </c>
      <c r="J37" s="32">
        <v>78.5</v>
      </c>
      <c r="K37" s="32"/>
      <c r="L37" s="30"/>
      <c r="M37" s="32"/>
      <c r="N37" s="29"/>
      <c r="O37" s="33"/>
      <c r="P37" s="30"/>
      <c r="Q37" s="32"/>
      <c r="R37" s="32"/>
      <c r="S37" s="31"/>
      <c r="T37" s="31">
        <v>0.54303195747398336</v>
      </c>
    </row>
    <row r="38" spans="2:20" s="27" customFormat="1" x14ac:dyDescent="0.4">
      <c r="B38" s="29">
        <v>20240710</v>
      </c>
      <c r="C38" s="29" t="s">
        <v>34</v>
      </c>
      <c r="D38" s="30" t="s">
        <v>35</v>
      </c>
      <c r="E38" s="30">
        <v>11788935</v>
      </c>
      <c r="F38" s="30">
        <v>2375348</v>
      </c>
      <c r="G38" s="31">
        <v>0.20150000000000001</v>
      </c>
      <c r="H38" s="30">
        <v>210809395</v>
      </c>
      <c r="I38" s="32">
        <v>89.75</v>
      </c>
      <c r="J38" s="32">
        <v>66.64</v>
      </c>
      <c r="K38" s="32">
        <v>93.5</v>
      </c>
      <c r="L38" s="30">
        <v>415863606</v>
      </c>
      <c r="M38" s="32">
        <v>96.29</v>
      </c>
      <c r="N38" s="29">
        <v>2132491</v>
      </c>
      <c r="O38" s="33">
        <v>8.7900000000000006E-2</v>
      </c>
      <c r="P38" s="30">
        <v>2254557</v>
      </c>
      <c r="Q38" s="32">
        <v>36.31</v>
      </c>
      <c r="R38" s="32">
        <v>55.85</v>
      </c>
      <c r="S38" s="31">
        <v>0.6704194273941374</v>
      </c>
      <c r="T38" s="31">
        <v>0.62450629079203712</v>
      </c>
    </row>
    <row r="39" spans="2:20" s="27" customFormat="1" x14ac:dyDescent="0.4">
      <c r="B39" s="29">
        <v>20240710</v>
      </c>
      <c r="C39" s="29" t="s">
        <v>34</v>
      </c>
      <c r="D39" s="30" t="s">
        <v>36</v>
      </c>
      <c r="E39" s="30">
        <v>9412099</v>
      </c>
      <c r="F39" s="30">
        <v>1736494</v>
      </c>
      <c r="G39" s="31">
        <v>0.1845</v>
      </c>
      <c r="H39" s="30">
        <v>205054211</v>
      </c>
      <c r="I39" s="32">
        <v>40.1</v>
      </c>
      <c r="J39" s="32">
        <v>75.86</v>
      </c>
      <c r="K39" s="32">
        <v>90.95</v>
      </c>
      <c r="L39" s="30"/>
      <c r="M39" s="32"/>
      <c r="N39" s="29"/>
      <c r="O39" s="33"/>
      <c r="P39" s="30"/>
      <c r="Q39" s="32"/>
      <c r="R39" s="32"/>
      <c r="S39" s="31"/>
      <c r="T39" s="31">
        <v>0.59160124214444998</v>
      </c>
    </row>
    <row r="40" spans="2:20" s="27" customFormat="1" x14ac:dyDescent="0.4">
      <c r="B40" s="29">
        <v>20240710</v>
      </c>
      <c r="C40" s="29" t="s">
        <v>34</v>
      </c>
      <c r="D40" s="30" t="s">
        <v>37</v>
      </c>
      <c r="E40" s="30">
        <v>1574020</v>
      </c>
      <c r="F40" s="30">
        <v>310497</v>
      </c>
      <c r="G40" s="31">
        <v>0.1973</v>
      </c>
      <c r="H40" s="30">
        <v>23545050</v>
      </c>
      <c r="I40" s="32">
        <v>76.650000000000006</v>
      </c>
      <c r="J40" s="32">
        <v>60.59</v>
      </c>
      <c r="K40" s="32"/>
      <c r="L40" s="30"/>
      <c r="M40" s="32"/>
      <c r="N40" s="29"/>
      <c r="O40" s="33"/>
      <c r="P40" s="30"/>
      <c r="Q40" s="32"/>
      <c r="R40" s="32"/>
      <c r="S40" s="31"/>
      <c r="T40" s="31">
        <v>0.38886195045596839</v>
      </c>
    </row>
    <row r="41" spans="2:20" s="27" customFormat="1" x14ac:dyDescent="0.4">
      <c r="B41" s="29">
        <v>20240710</v>
      </c>
      <c r="C41" s="29" t="s">
        <v>34</v>
      </c>
      <c r="D41" s="30" t="s">
        <v>38</v>
      </c>
      <c r="E41" s="30">
        <v>2763692</v>
      </c>
      <c r="F41" s="30">
        <v>527113</v>
      </c>
      <c r="G41" s="31">
        <v>0.19070000000000001</v>
      </c>
      <c r="H41" s="30">
        <v>27654228</v>
      </c>
      <c r="I41" s="32">
        <v>52.66</v>
      </c>
      <c r="J41" s="32">
        <v>73.84</v>
      </c>
      <c r="K41" s="32"/>
      <c r="L41" s="30"/>
      <c r="M41" s="32"/>
      <c r="N41" s="29"/>
      <c r="O41" s="33"/>
      <c r="P41" s="30"/>
      <c r="Q41" s="32"/>
      <c r="R41" s="32"/>
      <c r="S41" s="31"/>
      <c r="T41" s="31">
        <v>0.34108211254447512</v>
      </c>
    </row>
    <row r="42" spans="2:20" s="27" customFormat="1" x14ac:dyDescent="0.4">
      <c r="B42" s="29">
        <v>20240710</v>
      </c>
      <c r="C42" s="29" t="s">
        <v>34</v>
      </c>
      <c r="D42" s="30" t="s">
        <v>39</v>
      </c>
      <c r="E42" s="30">
        <v>5074387</v>
      </c>
      <c r="F42" s="30">
        <v>898884</v>
      </c>
      <c r="G42" s="31">
        <v>0.17710000000000001</v>
      </c>
      <c r="H42" s="30">
        <v>153854932</v>
      </c>
      <c r="I42" s="32">
        <v>20.61</v>
      </c>
      <c r="J42" s="32">
        <v>82.14</v>
      </c>
      <c r="K42" s="32"/>
      <c r="L42" s="30"/>
      <c r="M42" s="32"/>
      <c r="N42" s="29"/>
      <c r="O42" s="33"/>
      <c r="P42" s="30"/>
      <c r="Q42" s="32"/>
      <c r="R42" s="32"/>
      <c r="S42" s="31"/>
      <c r="T42" s="31">
        <v>0.56453482842793157</v>
      </c>
    </row>
    <row r="43" spans="2:20" s="27" customFormat="1" x14ac:dyDescent="0.4">
      <c r="B43" s="29">
        <v>20240709</v>
      </c>
      <c r="C43" s="29" t="s">
        <v>34</v>
      </c>
      <c r="D43" s="30" t="s">
        <v>35</v>
      </c>
      <c r="E43" s="30">
        <v>11650040</v>
      </c>
      <c r="F43" s="30">
        <v>2185762</v>
      </c>
      <c r="G43" s="31">
        <v>0.18759999999999999</v>
      </c>
      <c r="H43" s="30">
        <v>181234354</v>
      </c>
      <c r="I43" s="32">
        <v>83.43</v>
      </c>
      <c r="J43" s="32">
        <v>62.6</v>
      </c>
      <c r="K43" s="32">
        <v>80.510000000000005</v>
      </c>
      <c r="L43" s="30">
        <v>390459679</v>
      </c>
      <c r="M43" s="32">
        <v>90.82</v>
      </c>
      <c r="N43" s="29">
        <v>2122092</v>
      </c>
      <c r="O43" s="33">
        <v>8.43E-2</v>
      </c>
      <c r="P43" s="30">
        <v>2251064</v>
      </c>
      <c r="Q43" s="32">
        <v>35.630000000000003</v>
      </c>
      <c r="R43" s="32">
        <v>55.8</v>
      </c>
      <c r="S43" s="31">
        <v>0.66698685772012412</v>
      </c>
      <c r="T43" s="31">
        <v>0.62303340645173022</v>
      </c>
    </row>
    <row r="44" spans="2:20" s="27" customFormat="1" x14ac:dyDescent="0.4">
      <c r="B44" s="29">
        <v>20240709</v>
      </c>
      <c r="C44" s="29" t="s">
        <v>34</v>
      </c>
      <c r="D44" s="30" t="s">
        <v>36</v>
      </c>
      <c r="E44" s="30">
        <v>9482477</v>
      </c>
      <c r="F44" s="30">
        <v>1758112</v>
      </c>
      <c r="G44" s="31">
        <v>0.18540000000000001</v>
      </c>
      <c r="H44" s="30">
        <v>209225325</v>
      </c>
      <c r="I44" s="32">
        <v>41.57</v>
      </c>
      <c r="J44" s="32">
        <v>73.31</v>
      </c>
      <c r="K44" s="32">
        <v>92.95</v>
      </c>
      <c r="L44" s="30"/>
      <c r="M44" s="32"/>
      <c r="N44" s="29"/>
      <c r="O44" s="33"/>
      <c r="P44" s="30"/>
      <c r="Q44" s="32"/>
      <c r="R44" s="32"/>
      <c r="S44" s="31"/>
      <c r="T44" s="31">
        <v>0.57597495893749573</v>
      </c>
    </row>
    <row r="45" spans="2:20" s="27" customFormat="1" x14ac:dyDescent="0.4">
      <c r="B45" s="29">
        <v>20240709</v>
      </c>
      <c r="C45" s="29" t="s">
        <v>34</v>
      </c>
      <c r="D45" s="30" t="s">
        <v>37</v>
      </c>
      <c r="E45" s="30">
        <v>1326401</v>
      </c>
      <c r="F45" s="30">
        <v>247953</v>
      </c>
      <c r="G45" s="31">
        <v>0.18690000000000001</v>
      </c>
      <c r="H45" s="30">
        <v>23641630</v>
      </c>
      <c r="I45" s="32">
        <v>96.2</v>
      </c>
      <c r="J45" s="32">
        <v>55.32</v>
      </c>
      <c r="K45" s="32"/>
      <c r="L45" s="30"/>
      <c r="M45" s="32"/>
      <c r="N45" s="29"/>
      <c r="O45" s="33"/>
      <c r="P45" s="30"/>
      <c r="Q45" s="32"/>
      <c r="R45" s="32"/>
      <c r="S45" s="31"/>
      <c r="T45" s="31">
        <v>0.33695484704654449</v>
      </c>
    </row>
    <row r="46" spans="2:20" s="27" customFormat="1" x14ac:dyDescent="0.4">
      <c r="B46" s="29">
        <v>20240709</v>
      </c>
      <c r="C46" s="29" t="s">
        <v>34</v>
      </c>
      <c r="D46" s="30" t="s">
        <v>38</v>
      </c>
      <c r="E46" s="30">
        <v>3198506</v>
      </c>
      <c r="F46" s="30">
        <v>639135</v>
      </c>
      <c r="G46" s="31">
        <v>0.19980000000000001</v>
      </c>
      <c r="H46" s="30">
        <v>29669751</v>
      </c>
      <c r="I46" s="32">
        <v>46.59</v>
      </c>
      <c r="J46" s="32">
        <v>73.959999999999994</v>
      </c>
      <c r="K46" s="32"/>
      <c r="L46" s="30"/>
      <c r="M46" s="32"/>
      <c r="N46" s="29"/>
      <c r="O46" s="33"/>
      <c r="P46" s="30"/>
      <c r="Q46" s="32"/>
      <c r="R46" s="32"/>
      <c r="S46" s="31"/>
      <c r="T46" s="31">
        <v>0.3610302598805013</v>
      </c>
    </row>
    <row r="47" spans="2:20" s="27" customFormat="1" x14ac:dyDescent="0.4">
      <c r="B47" s="29">
        <v>20240709</v>
      </c>
      <c r="C47" s="29" t="s">
        <v>34</v>
      </c>
      <c r="D47" s="30" t="s">
        <v>39</v>
      </c>
      <c r="E47" s="30">
        <v>4957570</v>
      </c>
      <c r="F47" s="30">
        <v>871024</v>
      </c>
      <c r="G47" s="31">
        <v>0.1757</v>
      </c>
      <c r="H47" s="30">
        <v>155913944</v>
      </c>
      <c r="I47" s="32">
        <v>22.79</v>
      </c>
      <c r="J47" s="32">
        <v>77.83</v>
      </c>
      <c r="K47" s="32"/>
      <c r="L47" s="30"/>
      <c r="M47" s="32"/>
      <c r="N47" s="29"/>
      <c r="O47" s="33"/>
      <c r="P47" s="30"/>
      <c r="Q47" s="32"/>
      <c r="R47" s="32"/>
      <c r="S47" s="31"/>
      <c r="T47" s="31">
        <v>0.55906645624301632</v>
      </c>
    </row>
    <row r="48" spans="2:20" s="27" customFormat="1" x14ac:dyDescent="0.4">
      <c r="B48" s="29">
        <v>20240708</v>
      </c>
      <c r="C48" s="29" t="s">
        <v>34</v>
      </c>
      <c r="D48" s="30" t="s">
        <v>35</v>
      </c>
      <c r="E48" s="30">
        <v>11757806</v>
      </c>
      <c r="F48" s="30">
        <v>2143856</v>
      </c>
      <c r="G48" s="31">
        <v>0.18229999999999999</v>
      </c>
      <c r="H48" s="30">
        <v>168872663</v>
      </c>
      <c r="I48" s="32">
        <v>79.34</v>
      </c>
      <c r="J48" s="32">
        <v>68.12</v>
      </c>
      <c r="K48" s="32">
        <v>75.14</v>
      </c>
      <c r="L48" s="30">
        <v>363468786</v>
      </c>
      <c r="M48" s="32">
        <v>74.13</v>
      </c>
      <c r="N48" s="29">
        <v>2121449</v>
      </c>
      <c r="O48" s="33">
        <v>7.8399999999999997E-2</v>
      </c>
      <c r="P48" s="30">
        <v>2247413</v>
      </c>
      <c r="Q48" s="32">
        <v>36.01</v>
      </c>
      <c r="R48" s="32">
        <v>56.4</v>
      </c>
      <c r="S48" s="31">
        <v>0.65401433930434394</v>
      </c>
      <c r="T48" s="31">
        <v>0.59561391724879098</v>
      </c>
    </row>
    <row r="49" spans="2:20" s="27" customFormat="1" x14ac:dyDescent="0.4">
      <c r="B49" s="29">
        <v>20240708</v>
      </c>
      <c r="C49" s="29" t="s">
        <v>34</v>
      </c>
      <c r="D49" s="30" t="s">
        <v>36</v>
      </c>
      <c r="E49" s="30">
        <v>9414664</v>
      </c>
      <c r="F49" s="30">
        <v>1741301</v>
      </c>
      <c r="G49" s="31">
        <v>0.185</v>
      </c>
      <c r="H49" s="30">
        <v>194596123</v>
      </c>
      <c r="I49" s="32">
        <v>37.03</v>
      </c>
      <c r="J49" s="32">
        <v>73.69</v>
      </c>
      <c r="K49" s="32">
        <v>86.59</v>
      </c>
      <c r="L49" s="30"/>
      <c r="M49" s="32"/>
      <c r="N49" s="29"/>
      <c r="O49" s="33"/>
      <c r="P49" s="30"/>
      <c r="Q49" s="32"/>
      <c r="R49" s="32"/>
      <c r="S49" s="31"/>
      <c r="T49" s="31">
        <v>0.58529778707893265</v>
      </c>
    </row>
    <row r="50" spans="2:20" s="27" customFormat="1" x14ac:dyDescent="0.4">
      <c r="B50" s="29">
        <v>20240708</v>
      </c>
      <c r="C50" s="29" t="s">
        <v>34</v>
      </c>
      <c r="D50" s="30" t="s">
        <v>37</v>
      </c>
      <c r="E50" s="30">
        <v>1344321</v>
      </c>
      <c r="F50" s="30">
        <v>245790</v>
      </c>
      <c r="G50" s="31">
        <v>0.18279999999999999</v>
      </c>
      <c r="H50" s="30">
        <v>23748829</v>
      </c>
      <c r="I50" s="32">
        <v>97.36</v>
      </c>
      <c r="J50" s="32">
        <v>58.51</v>
      </c>
      <c r="K50" s="32"/>
      <c r="L50" s="30"/>
      <c r="M50" s="32"/>
      <c r="N50" s="29"/>
      <c r="O50" s="33"/>
      <c r="P50" s="30"/>
      <c r="Q50" s="32"/>
      <c r="R50" s="32"/>
      <c r="S50" s="31"/>
      <c r="T50" s="31">
        <v>0.27686121106250411</v>
      </c>
    </row>
    <row r="51" spans="2:20" s="27" customFormat="1" x14ac:dyDescent="0.4">
      <c r="B51" s="29">
        <v>20240708</v>
      </c>
      <c r="C51" s="29" t="s">
        <v>34</v>
      </c>
      <c r="D51" s="30" t="s">
        <v>38</v>
      </c>
      <c r="E51" s="30">
        <v>2680803</v>
      </c>
      <c r="F51" s="30">
        <v>570449</v>
      </c>
      <c r="G51" s="31">
        <v>0.21279999999999999</v>
      </c>
      <c r="H51" s="30">
        <v>24525526</v>
      </c>
      <c r="I51" s="32">
        <v>43.02</v>
      </c>
      <c r="J51" s="32">
        <v>71.13</v>
      </c>
      <c r="K51" s="32"/>
      <c r="L51" s="30"/>
      <c r="M51" s="32"/>
      <c r="N51" s="29"/>
      <c r="O51" s="33"/>
      <c r="P51" s="30"/>
      <c r="Q51" s="32"/>
      <c r="R51" s="32"/>
      <c r="S51" s="31"/>
      <c r="T51" s="31">
        <v>0.41513653068854361</v>
      </c>
    </row>
    <row r="52" spans="2:20" s="27" customFormat="1" x14ac:dyDescent="0.4">
      <c r="B52" s="29">
        <v>20240708</v>
      </c>
      <c r="C52" s="29" t="s">
        <v>34</v>
      </c>
      <c r="D52" s="30" t="s">
        <v>39</v>
      </c>
      <c r="E52" s="30">
        <v>5389540</v>
      </c>
      <c r="F52" s="30">
        <v>925062</v>
      </c>
      <c r="G52" s="31">
        <v>0.1716</v>
      </c>
      <c r="H52" s="30">
        <v>146321768</v>
      </c>
      <c r="I52" s="32">
        <v>17.739999999999998</v>
      </c>
      <c r="J52" s="32">
        <v>79.19</v>
      </c>
      <c r="K52" s="32"/>
      <c r="L52" s="30"/>
      <c r="M52" s="32"/>
      <c r="N52" s="29"/>
      <c r="O52" s="33"/>
      <c r="P52" s="30"/>
      <c r="Q52" s="32"/>
      <c r="R52" s="32"/>
      <c r="S52" s="31"/>
      <c r="T52" s="31">
        <v>0.55190885702462988</v>
      </c>
    </row>
    <row r="53" spans="2:20" s="27" customFormat="1" x14ac:dyDescent="0.4">
      <c r="B53" s="29">
        <v>20240707</v>
      </c>
      <c r="C53" s="29" t="s">
        <v>34</v>
      </c>
      <c r="D53" s="30" t="s">
        <v>35</v>
      </c>
      <c r="E53" s="30">
        <v>11126826</v>
      </c>
      <c r="F53" s="30">
        <v>2112336</v>
      </c>
      <c r="G53" s="31">
        <v>0.1898</v>
      </c>
      <c r="H53" s="30">
        <v>175980662</v>
      </c>
      <c r="I53" s="32">
        <v>83.85</v>
      </c>
      <c r="J53" s="32">
        <v>63.93</v>
      </c>
      <c r="K53" s="32">
        <v>80.760000000000005</v>
      </c>
      <c r="L53" s="30">
        <v>378180258</v>
      </c>
      <c r="M53" s="32">
        <v>90.39</v>
      </c>
      <c r="N53" s="29">
        <v>2065119</v>
      </c>
      <c r="O53" s="33">
        <v>8.2100000000000006E-2</v>
      </c>
      <c r="P53" s="30">
        <v>2179152</v>
      </c>
      <c r="Q53" s="32">
        <v>37.22</v>
      </c>
      <c r="R53" s="32">
        <v>58.63</v>
      </c>
      <c r="S53" s="31">
        <v>0.64136680736194362</v>
      </c>
      <c r="T53" s="31">
        <v>0.57291425470872159</v>
      </c>
    </row>
    <row r="54" spans="2:20" s="27" customFormat="1" x14ac:dyDescent="0.4">
      <c r="B54" s="29">
        <v>20240707</v>
      </c>
      <c r="C54" s="29" t="s">
        <v>34</v>
      </c>
      <c r="D54" s="30" t="s">
        <v>36</v>
      </c>
      <c r="E54" s="30">
        <v>8925384</v>
      </c>
      <c r="F54" s="30">
        <v>1640403</v>
      </c>
      <c r="G54" s="31">
        <v>0.18379999999999999</v>
      </c>
      <c r="H54" s="30">
        <v>202199596</v>
      </c>
      <c r="I54" s="32">
        <v>41.29</v>
      </c>
      <c r="J54" s="32">
        <v>74.64</v>
      </c>
      <c r="K54" s="32">
        <v>92.79</v>
      </c>
      <c r="L54" s="30"/>
      <c r="M54" s="32"/>
      <c r="N54" s="29"/>
      <c r="O54" s="33"/>
      <c r="P54" s="30"/>
      <c r="Q54" s="32"/>
      <c r="R54" s="32"/>
      <c r="S54" s="31"/>
      <c r="T54" s="31">
        <v>0.5836839179377129</v>
      </c>
    </row>
    <row r="55" spans="2:20" s="27" customFormat="1" x14ac:dyDescent="0.4">
      <c r="B55" s="29">
        <v>20240707</v>
      </c>
      <c r="C55" s="29" t="s">
        <v>34</v>
      </c>
      <c r="D55" s="30" t="s">
        <v>37</v>
      </c>
      <c r="E55" s="30">
        <v>1045067</v>
      </c>
      <c r="F55" s="30">
        <v>205072</v>
      </c>
      <c r="G55" s="31">
        <v>0.19620000000000001</v>
      </c>
      <c r="H55" s="30">
        <v>21335721</v>
      </c>
      <c r="I55" s="32">
        <v>105.4</v>
      </c>
      <c r="J55" s="32">
        <v>62.48</v>
      </c>
      <c r="K55" s="32"/>
      <c r="L55" s="30"/>
      <c r="M55" s="32"/>
      <c r="N55" s="29"/>
      <c r="O55" s="33"/>
      <c r="P55" s="30"/>
      <c r="Q55" s="32"/>
      <c r="R55" s="32"/>
      <c r="S55" s="31"/>
      <c r="T55" s="31">
        <v>0.26616096313536192</v>
      </c>
    </row>
    <row r="56" spans="2:20" s="27" customFormat="1" x14ac:dyDescent="0.4">
      <c r="B56" s="29">
        <v>20240707</v>
      </c>
      <c r="C56" s="29" t="s">
        <v>34</v>
      </c>
      <c r="D56" s="30" t="s">
        <v>38</v>
      </c>
      <c r="E56" s="30">
        <v>2620587</v>
      </c>
      <c r="F56" s="30">
        <v>507316</v>
      </c>
      <c r="G56" s="31">
        <v>0.19359999999999999</v>
      </c>
      <c r="H56" s="30">
        <v>25161081</v>
      </c>
      <c r="I56" s="32">
        <v>49.79</v>
      </c>
      <c r="J56" s="32">
        <v>73.62</v>
      </c>
      <c r="K56" s="32"/>
      <c r="L56" s="30"/>
      <c r="M56" s="32"/>
      <c r="N56" s="29"/>
      <c r="O56" s="33"/>
      <c r="P56" s="30"/>
      <c r="Q56" s="32"/>
      <c r="R56" s="32"/>
      <c r="S56" s="31"/>
      <c r="T56" s="31">
        <v>0.38360876449934078</v>
      </c>
    </row>
    <row r="57" spans="2:20" s="27" customFormat="1" x14ac:dyDescent="0.4">
      <c r="B57" s="29">
        <v>20240707</v>
      </c>
      <c r="C57" s="29" t="s">
        <v>34</v>
      </c>
      <c r="D57" s="30" t="s">
        <v>39</v>
      </c>
      <c r="E57" s="30">
        <v>5259730</v>
      </c>
      <c r="F57" s="30">
        <v>928015</v>
      </c>
      <c r="G57" s="31">
        <v>0.1764</v>
      </c>
      <c r="H57" s="30">
        <v>155702794</v>
      </c>
      <c r="I57" s="32">
        <v>23.03</v>
      </c>
      <c r="J57" s="32">
        <v>77.790000000000006</v>
      </c>
      <c r="K57" s="32"/>
      <c r="L57" s="30"/>
      <c r="M57" s="32"/>
      <c r="N57" s="29"/>
      <c r="O57" s="33"/>
      <c r="P57" s="30"/>
      <c r="Q57" s="32"/>
      <c r="R57" s="32"/>
      <c r="S57" s="31"/>
      <c r="T57" s="31">
        <v>0.55762370269066563</v>
      </c>
    </row>
    <row r="58" spans="2:20" s="27" customFormat="1" x14ac:dyDescent="0.4">
      <c r="B58" s="29">
        <v>20240706</v>
      </c>
      <c r="C58" s="29" t="s">
        <v>34</v>
      </c>
      <c r="D58" s="30" t="s">
        <v>35</v>
      </c>
      <c r="E58" s="30">
        <v>11230866</v>
      </c>
      <c r="F58" s="30">
        <v>2207495</v>
      </c>
      <c r="G58" s="31">
        <v>0.1966</v>
      </c>
      <c r="H58" s="30">
        <v>195599073</v>
      </c>
      <c r="I58" s="32">
        <v>89.23</v>
      </c>
      <c r="J58" s="32">
        <v>65.430000000000007</v>
      </c>
      <c r="K58" s="32">
        <v>88.54</v>
      </c>
      <c r="L58" s="30">
        <v>427271238</v>
      </c>
      <c r="M58" s="32">
        <v>113.3</v>
      </c>
      <c r="N58" s="29">
        <v>2090217</v>
      </c>
      <c r="O58" s="33">
        <v>9.3399999999999997E-2</v>
      </c>
      <c r="P58" s="30">
        <v>2209099</v>
      </c>
      <c r="Q58" s="32">
        <v>36.22</v>
      </c>
      <c r="R58" s="32">
        <v>57.24</v>
      </c>
      <c r="S58" s="31">
        <v>0.6390262935087534</v>
      </c>
      <c r="T58" s="31">
        <v>0.58379566324382859</v>
      </c>
    </row>
    <row r="59" spans="2:20" s="27" customFormat="1" x14ac:dyDescent="0.4">
      <c r="B59" s="29">
        <v>20240706</v>
      </c>
      <c r="C59" s="29" t="s">
        <v>34</v>
      </c>
      <c r="D59" s="30" t="s">
        <v>36</v>
      </c>
      <c r="E59" s="30">
        <v>9254887</v>
      </c>
      <c r="F59" s="30">
        <v>1729616</v>
      </c>
      <c r="G59" s="31">
        <v>0.18690000000000001</v>
      </c>
      <c r="H59" s="30">
        <v>231672165</v>
      </c>
      <c r="I59" s="32">
        <v>52.5</v>
      </c>
      <c r="J59" s="32">
        <v>72.78</v>
      </c>
      <c r="K59" s="32">
        <v>104.87</v>
      </c>
      <c r="L59" s="30"/>
      <c r="M59" s="32"/>
      <c r="N59" s="29"/>
      <c r="O59" s="33"/>
      <c r="P59" s="30"/>
      <c r="Q59" s="32"/>
      <c r="R59" s="32"/>
      <c r="S59" s="31"/>
      <c r="T59" s="31">
        <v>0.55934863233543541</v>
      </c>
    </row>
    <row r="60" spans="2:20" s="27" customFormat="1" x14ac:dyDescent="0.4">
      <c r="B60" s="29">
        <v>20240706</v>
      </c>
      <c r="C60" s="29" t="s">
        <v>34</v>
      </c>
      <c r="D60" s="30" t="s">
        <v>37</v>
      </c>
      <c r="E60" s="30">
        <v>1028484</v>
      </c>
      <c r="F60" s="30">
        <v>191390</v>
      </c>
      <c r="G60" s="31">
        <v>0.18609999999999999</v>
      </c>
      <c r="H60" s="30">
        <v>27905487</v>
      </c>
      <c r="I60" s="32">
        <v>147.97</v>
      </c>
      <c r="J60" s="32">
        <v>50.19</v>
      </c>
      <c r="K60" s="32"/>
      <c r="L60" s="30"/>
      <c r="M60" s="32"/>
      <c r="N60" s="29"/>
      <c r="O60" s="33"/>
      <c r="P60" s="30"/>
      <c r="Q60" s="32"/>
      <c r="R60" s="32"/>
      <c r="S60" s="31"/>
      <c r="T60" s="31">
        <v>0.23800631657319901</v>
      </c>
    </row>
    <row r="61" spans="2:20" s="27" customFormat="1" x14ac:dyDescent="0.4">
      <c r="B61" s="29">
        <v>20240706</v>
      </c>
      <c r="C61" s="29" t="s">
        <v>34</v>
      </c>
      <c r="D61" s="30" t="s">
        <v>38</v>
      </c>
      <c r="E61" s="30">
        <v>2947772</v>
      </c>
      <c r="F61" s="30">
        <v>559422</v>
      </c>
      <c r="G61" s="31">
        <v>0.1898</v>
      </c>
      <c r="H61" s="30">
        <v>30612813</v>
      </c>
      <c r="I61" s="32">
        <v>55.05</v>
      </c>
      <c r="J61" s="32">
        <v>73.489999999999995</v>
      </c>
      <c r="K61" s="32"/>
      <c r="L61" s="30"/>
      <c r="M61" s="32"/>
      <c r="N61" s="29"/>
      <c r="O61" s="33"/>
      <c r="P61" s="30"/>
      <c r="Q61" s="32"/>
      <c r="R61" s="32"/>
      <c r="S61" s="31"/>
      <c r="T61" s="31">
        <v>0.35815799053512931</v>
      </c>
    </row>
    <row r="62" spans="2:20" s="27" customFormat="1" x14ac:dyDescent="0.4">
      <c r="B62" s="29">
        <v>20240706</v>
      </c>
      <c r="C62" s="29" t="s">
        <v>34</v>
      </c>
      <c r="D62" s="30" t="s">
        <v>39</v>
      </c>
      <c r="E62" s="30">
        <v>5278631</v>
      </c>
      <c r="F62" s="30">
        <v>978804</v>
      </c>
      <c r="G62" s="31">
        <v>0.18540000000000001</v>
      </c>
      <c r="H62" s="30">
        <v>173153865</v>
      </c>
      <c r="I62" s="32">
        <v>33.03</v>
      </c>
      <c r="J62" s="32">
        <v>76.650000000000006</v>
      </c>
      <c r="K62" s="32"/>
      <c r="L62" s="30"/>
      <c r="M62" s="32"/>
      <c r="N62" s="29"/>
      <c r="O62" s="33"/>
      <c r="P62" s="30"/>
      <c r="Q62" s="32"/>
      <c r="R62" s="32"/>
      <c r="S62" s="31"/>
      <c r="T62" s="31">
        <v>0.54244081853574755</v>
      </c>
    </row>
    <row r="63" spans="2:20" s="27" customFormat="1" x14ac:dyDescent="0.4">
      <c r="B63" s="29">
        <v>20240705</v>
      </c>
      <c r="C63" s="29" t="s">
        <v>34</v>
      </c>
      <c r="D63" s="30" t="s">
        <v>35</v>
      </c>
      <c r="E63" s="30">
        <v>11504598</v>
      </c>
      <c r="F63" s="30">
        <v>2255476</v>
      </c>
      <c r="G63" s="31">
        <v>0.19600000000000001</v>
      </c>
      <c r="H63" s="30">
        <v>202487304</v>
      </c>
      <c r="I63" s="32">
        <v>90.65</v>
      </c>
      <c r="J63" s="32">
        <v>67.12</v>
      </c>
      <c r="K63" s="32">
        <v>90.34</v>
      </c>
      <c r="L63" s="30">
        <v>415254847</v>
      </c>
      <c r="M63" s="32">
        <v>102.86</v>
      </c>
      <c r="N63" s="29">
        <v>2116988</v>
      </c>
      <c r="O63" s="33">
        <v>9.0200000000000002E-2</v>
      </c>
      <c r="P63" s="30">
        <v>2241291</v>
      </c>
      <c r="Q63" s="32">
        <v>35.74</v>
      </c>
      <c r="R63" s="32">
        <v>55.8</v>
      </c>
      <c r="S63" s="31">
        <v>0.64281597695945814</v>
      </c>
      <c r="T63" s="31">
        <v>0.59285027224203279</v>
      </c>
    </row>
    <row r="64" spans="2:20" s="27" customFormat="1" x14ac:dyDescent="0.4">
      <c r="B64" s="29">
        <v>20240705</v>
      </c>
      <c r="C64" s="29" t="s">
        <v>34</v>
      </c>
      <c r="D64" s="30" t="s">
        <v>36</v>
      </c>
      <c r="E64" s="30">
        <v>9500607</v>
      </c>
      <c r="F64" s="30">
        <v>1742089</v>
      </c>
      <c r="G64" s="31">
        <v>0.18340000000000001</v>
      </c>
      <c r="H64" s="30">
        <v>212767543</v>
      </c>
      <c r="I64" s="32">
        <v>47.29</v>
      </c>
      <c r="J64" s="32">
        <v>74.489999999999995</v>
      </c>
      <c r="K64" s="32">
        <v>94.93</v>
      </c>
      <c r="L64" s="30"/>
      <c r="M64" s="32"/>
      <c r="N64" s="29"/>
      <c r="O64" s="33"/>
      <c r="P64" s="30"/>
      <c r="Q64" s="32"/>
      <c r="R64" s="32"/>
      <c r="S64" s="31"/>
      <c r="T64" s="31">
        <v>0.56006359954436147</v>
      </c>
    </row>
    <row r="65" spans="2:20" s="27" customFormat="1" x14ac:dyDescent="0.4">
      <c r="B65" s="29">
        <v>20240705</v>
      </c>
      <c r="C65" s="29" t="s">
        <v>34</v>
      </c>
      <c r="D65" s="30" t="s">
        <v>37</v>
      </c>
      <c r="E65" s="30">
        <v>1652375</v>
      </c>
      <c r="F65" s="30">
        <v>359292</v>
      </c>
      <c r="G65" s="31">
        <v>0.21740000000000001</v>
      </c>
      <c r="H65" s="30">
        <v>37982536</v>
      </c>
      <c r="I65" s="32">
        <v>107.1</v>
      </c>
      <c r="J65" s="32">
        <v>58.28</v>
      </c>
      <c r="K65" s="32"/>
      <c r="L65" s="30"/>
      <c r="M65" s="32"/>
      <c r="N65" s="29"/>
      <c r="O65" s="33"/>
      <c r="P65" s="30"/>
      <c r="Q65" s="32"/>
      <c r="R65" s="32"/>
      <c r="S65" s="31"/>
      <c r="T65" s="31">
        <v>0.18858926856045011</v>
      </c>
    </row>
    <row r="66" spans="2:20" s="27" customFormat="1" x14ac:dyDescent="0.4">
      <c r="B66" s="29">
        <v>20240705</v>
      </c>
      <c r="C66" s="29" t="s">
        <v>34</v>
      </c>
      <c r="D66" s="30" t="s">
        <v>38</v>
      </c>
      <c r="E66" s="30">
        <v>2777810</v>
      </c>
      <c r="F66" s="30">
        <v>512074</v>
      </c>
      <c r="G66" s="31">
        <v>0.18429999999999999</v>
      </c>
      <c r="H66" s="30">
        <v>23389551</v>
      </c>
      <c r="I66" s="32">
        <v>45.86</v>
      </c>
      <c r="J66" s="32">
        <v>76.53</v>
      </c>
      <c r="K66" s="32"/>
      <c r="L66" s="30"/>
      <c r="M66" s="32"/>
      <c r="N66" s="29"/>
      <c r="O66" s="33"/>
      <c r="P66" s="30"/>
      <c r="Q66" s="32"/>
      <c r="R66" s="32"/>
      <c r="S66" s="31"/>
      <c r="T66" s="31">
        <v>0.36581863153378258</v>
      </c>
    </row>
    <row r="67" spans="2:20" s="27" customFormat="1" x14ac:dyDescent="0.4">
      <c r="B67" s="29">
        <v>20240705</v>
      </c>
      <c r="C67" s="29" t="s">
        <v>34</v>
      </c>
      <c r="D67" s="30" t="s">
        <v>39</v>
      </c>
      <c r="E67" s="30">
        <v>5070422</v>
      </c>
      <c r="F67" s="30">
        <v>870723</v>
      </c>
      <c r="G67" s="31">
        <v>0.17169999999999999</v>
      </c>
      <c r="H67" s="30">
        <v>151395457</v>
      </c>
      <c r="I67" s="32">
        <v>24.17</v>
      </c>
      <c r="J67" s="32">
        <v>79.8</v>
      </c>
      <c r="K67" s="32"/>
      <c r="L67" s="30"/>
      <c r="M67" s="32"/>
      <c r="N67" s="29"/>
      <c r="O67" s="33"/>
      <c r="P67" s="30"/>
      <c r="Q67" s="32"/>
      <c r="R67" s="32"/>
      <c r="S67" s="31"/>
      <c r="T67" s="31">
        <v>0.56631358538833132</v>
      </c>
    </row>
    <row r="68" spans="2:20" s="27" customFormat="1" x14ac:dyDescent="0.4">
      <c r="B68" s="29">
        <v>20240704</v>
      </c>
      <c r="C68" s="29" t="s">
        <v>34</v>
      </c>
      <c r="D68" s="30" t="s">
        <v>35</v>
      </c>
      <c r="E68" s="30">
        <v>11465821</v>
      </c>
      <c r="F68" s="30">
        <v>2158763</v>
      </c>
      <c r="G68" s="31">
        <v>0.1883</v>
      </c>
      <c r="H68" s="30">
        <v>186094280</v>
      </c>
      <c r="I68" s="32">
        <v>86.97</v>
      </c>
      <c r="J68" s="32">
        <v>65.17</v>
      </c>
      <c r="K68" s="32">
        <v>83.37</v>
      </c>
      <c r="L68" s="30">
        <v>403376637</v>
      </c>
      <c r="M68" s="32">
        <v>105.07</v>
      </c>
      <c r="N68" s="29">
        <v>2110660</v>
      </c>
      <c r="O68" s="33">
        <v>8.6199999999999999E-2</v>
      </c>
      <c r="P68" s="30">
        <v>2232034</v>
      </c>
      <c r="Q68" s="32">
        <v>36.17</v>
      </c>
      <c r="R68" s="32">
        <v>56.28</v>
      </c>
      <c r="S68" s="31">
        <v>0.65642153708145634</v>
      </c>
      <c r="T68" s="31">
        <v>0.59954921928574678</v>
      </c>
    </row>
    <row r="69" spans="2:20" s="27" customFormat="1" x14ac:dyDescent="0.4">
      <c r="B69" s="29">
        <v>20240704</v>
      </c>
      <c r="C69" s="29" t="s">
        <v>34</v>
      </c>
      <c r="D69" s="30" t="s">
        <v>36</v>
      </c>
      <c r="E69" s="30">
        <v>9279504</v>
      </c>
      <c r="F69" s="30">
        <v>1746008</v>
      </c>
      <c r="G69" s="31">
        <v>0.18820000000000001</v>
      </c>
      <c r="H69" s="30">
        <v>217282357</v>
      </c>
      <c r="I69" s="32">
        <v>48.3</v>
      </c>
      <c r="J69" s="32">
        <v>73.260000000000005</v>
      </c>
      <c r="K69" s="32">
        <v>97.35</v>
      </c>
      <c r="L69" s="30"/>
      <c r="M69" s="32"/>
      <c r="N69" s="29"/>
      <c r="O69" s="33"/>
      <c r="P69" s="30"/>
      <c r="Q69" s="32"/>
      <c r="R69" s="32"/>
      <c r="S69" s="31"/>
      <c r="T69" s="31">
        <v>0.58155675279090147</v>
      </c>
    </row>
    <row r="70" spans="2:20" s="27" customFormat="1" x14ac:dyDescent="0.4">
      <c r="B70" s="29">
        <v>20240704</v>
      </c>
      <c r="C70" s="29" t="s">
        <v>34</v>
      </c>
      <c r="D70" s="30" t="s">
        <v>37</v>
      </c>
      <c r="E70" s="30">
        <v>1713959</v>
      </c>
      <c r="F70" s="30">
        <v>339211</v>
      </c>
      <c r="G70" s="31">
        <v>0.19789999999999999</v>
      </c>
      <c r="H70" s="30">
        <v>28715474</v>
      </c>
      <c r="I70" s="32">
        <v>85.52</v>
      </c>
      <c r="J70" s="32">
        <v>60.76</v>
      </c>
      <c r="K70" s="32"/>
      <c r="L70" s="30"/>
      <c r="M70" s="32"/>
      <c r="N70" s="29"/>
      <c r="O70" s="33"/>
      <c r="P70" s="30"/>
      <c r="Q70" s="32"/>
      <c r="R70" s="32"/>
      <c r="S70" s="31"/>
      <c r="T70" s="31">
        <v>0.33850062582898988</v>
      </c>
    </row>
    <row r="71" spans="2:20" s="27" customFormat="1" x14ac:dyDescent="0.4">
      <c r="B71" s="29">
        <v>20240704</v>
      </c>
      <c r="C71" s="29" t="s">
        <v>34</v>
      </c>
      <c r="D71" s="30" t="s">
        <v>38</v>
      </c>
      <c r="E71" s="30">
        <v>2744467</v>
      </c>
      <c r="F71" s="30">
        <v>558343</v>
      </c>
      <c r="G71" s="31">
        <v>0.2034</v>
      </c>
      <c r="H71" s="30">
        <v>30267801</v>
      </c>
      <c r="I71" s="32">
        <v>54.6</v>
      </c>
      <c r="J71" s="32">
        <v>73.150000000000006</v>
      </c>
      <c r="K71" s="32"/>
      <c r="L71" s="30"/>
      <c r="M71" s="32"/>
      <c r="N71" s="29"/>
      <c r="O71" s="33"/>
      <c r="P71" s="30"/>
      <c r="Q71" s="32"/>
      <c r="R71" s="32"/>
      <c r="S71" s="31"/>
      <c r="T71" s="31">
        <v>0.34094108964068037</v>
      </c>
    </row>
    <row r="72" spans="2:20" s="27" customFormat="1" x14ac:dyDescent="0.4">
      <c r="B72" s="29">
        <v>20240704</v>
      </c>
      <c r="C72" s="29" t="s">
        <v>34</v>
      </c>
      <c r="D72" s="30" t="s">
        <v>39</v>
      </c>
      <c r="E72" s="30">
        <v>4821078</v>
      </c>
      <c r="F72" s="30">
        <v>848454</v>
      </c>
      <c r="G72" s="31">
        <v>0.17599999999999999</v>
      </c>
      <c r="H72" s="30">
        <v>158299082</v>
      </c>
      <c r="I72" s="32">
        <v>29.84</v>
      </c>
      <c r="J72" s="32">
        <v>78.180000000000007</v>
      </c>
      <c r="K72" s="32"/>
      <c r="L72" s="30"/>
      <c r="M72" s="32"/>
      <c r="N72" s="29"/>
      <c r="O72" s="33"/>
      <c r="P72" s="30"/>
      <c r="Q72" s="32"/>
      <c r="R72" s="32"/>
      <c r="S72" s="31"/>
      <c r="T72" s="31">
        <v>0.5599232659105442</v>
      </c>
    </row>
    <row r="73" spans="2:20" s="27" customFormat="1" x14ac:dyDescent="0.4">
      <c r="B73" s="29">
        <v>20240703</v>
      </c>
      <c r="C73" s="29" t="s">
        <v>34</v>
      </c>
      <c r="D73" s="30" t="s">
        <v>35</v>
      </c>
      <c r="E73" s="30">
        <v>11606002</v>
      </c>
      <c r="F73" s="30">
        <v>2225506</v>
      </c>
      <c r="G73" s="31">
        <v>0.1918</v>
      </c>
      <c r="H73" s="30">
        <v>177518607</v>
      </c>
      <c r="I73" s="32">
        <v>80.540000000000006</v>
      </c>
      <c r="J73" s="32">
        <v>67.510000000000005</v>
      </c>
      <c r="K73" s="32">
        <v>78.760000000000005</v>
      </c>
      <c r="L73" s="30">
        <v>389561720</v>
      </c>
      <c r="M73" s="32">
        <v>95.68</v>
      </c>
      <c r="N73" s="29">
        <v>2133017</v>
      </c>
      <c r="O73" s="33">
        <v>8.4599999999999995E-2</v>
      </c>
      <c r="P73" s="30">
        <v>2253857</v>
      </c>
      <c r="Q73" s="32">
        <v>35.409999999999997</v>
      </c>
      <c r="R73" s="32">
        <v>55.95</v>
      </c>
      <c r="S73" s="31">
        <v>0.65174461271599171</v>
      </c>
      <c r="T73" s="31">
        <v>0.5863156545233893</v>
      </c>
    </row>
    <row r="74" spans="2:20" s="27" customFormat="1" x14ac:dyDescent="0.4">
      <c r="B74" s="29">
        <v>20240703</v>
      </c>
      <c r="C74" s="29" t="s">
        <v>34</v>
      </c>
      <c r="D74" s="30" t="s">
        <v>36</v>
      </c>
      <c r="E74" s="30">
        <v>9570104</v>
      </c>
      <c r="F74" s="30">
        <v>1706064</v>
      </c>
      <c r="G74" s="31">
        <v>0.17829999999999999</v>
      </c>
      <c r="H74" s="30">
        <v>212043113</v>
      </c>
      <c r="I74" s="32">
        <v>48.67</v>
      </c>
      <c r="J74" s="32">
        <v>72.28</v>
      </c>
      <c r="K74" s="32">
        <v>94.08</v>
      </c>
      <c r="L74" s="30"/>
      <c r="M74" s="32"/>
      <c r="N74" s="29"/>
      <c r="O74" s="33"/>
      <c r="P74" s="30"/>
      <c r="Q74" s="32"/>
      <c r="R74" s="32"/>
      <c r="S74" s="31"/>
      <c r="T74" s="31">
        <v>0.5888283833973762</v>
      </c>
    </row>
    <row r="75" spans="2:20" s="27" customFormat="1" x14ac:dyDescent="0.4">
      <c r="B75" s="29">
        <v>20240703</v>
      </c>
      <c r="C75" s="29" t="s">
        <v>34</v>
      </c>
      <c r="D75" s="30" t="s">
        <v>37</v>
      </c>
      <c r="E75" s="30">
        <v>1827161</v>
      </c>
      <c r="F75" s="30">
        <v>352852</v>
      </c>
      <c r="G75" s="31">
        <v>0.19309999999999999</v>
      </c>
      <c r="H75" s="30">
        <v>36449647</v>
      </c>
      <c r="I75" s="32">
        <v>104.52</v>
      </c>
      <c r="J75" s="32">
        <v>53.34</v>
      </c>
      <c r="K75" s="32"/>
      <c r="L75" s="30"/>
      <c r="M75" s="32"/>
      <c r="N75" s="29"/>
      <c r="O75" s="33"/>
      <c r="P75" s="30"/>
      <c r="Q75" s="32"/>
      <c r="R75" s="32"/>
      <c r="S75" s="31"/>
      <c r="T75" s="31">
        <v>0.31937826308762712</v>
      </c>
    </row>
    <row r="76" spans="2:20" s="27" customFormat="1" x14ac:dyDescent="0.4">
      <c r="B76" s="29">
        <v>20240703</v>
      </c>
      <c r="C76" s="29" t="s">
        <v>34</v>
      </c>
      <c r="D76" s="30" t="s">
        <v>38</v>
      </c>
      <c r="E76" s="30">
        <v>2956081</v>
      </c>
      <c r="F76" s="30">
        <v>521389</v>
      </c>
      <c r="G76" s="31">
        <v>0.1764</v>
      </c>
      <c r="H76" s="30">
        <v>25850797</v>
      </c>
      <c r="I76" s="32">
        <v>49.83</v>
      </c>
      <c r="J76" s="32">
        <v>74.680000000000007</v>
      </c>
      <c r="K76" s="32"/>
      <c r="L76" s="30"/>
      <c r="M76" s="32"/>
      <c r="N76" s="29"/>
      <c r="O76" s="33"/>
      <c r="P76" s="30"/>
      <c r="Q76" s="32"/>
      <c r="R76" s="32"/>
      <c r="S76" s="31"/>
      <c r="T76" s="31">
        <v>0.36413150340162809</v>
      </c>
    </row>
    <row r="77" spans="2:20" s="27" customFormat="1" x14ac:dyDescent="0.4">
      <c r="B77" s="29">
        <v>20240703</v>
      </c>
      <c r="C77" s="29" t="s">
        <v>34</v>
      </c>
      <c r="D77" s="30" t="s">
        <v>39</v>
      </c>
      <c r="E77" s="30">
        <v>4786862</v>
      </c>
      <c r="F77" s="30">
        <v>831823</v>
      </c>
      <c r="G77" s="31">
        <v>0.17380000000000001</v>
      </c>
      <c r="H77" s="30">
        <v>149742670</v>
      </c>
      <c r="I77" s="32">
        <v>24.92</v>
      </c>
      <c r="J77" s="32">
        <v>78.61</v>
      </c>
      <c r="K77" s="32"/>
      <c r="L77" s="30"/>
      <c r="M77" s="32"/>
      <c r="N77" s="29"/>
      <c r="O77" s="33"/>
      <c r="P77" s="30"/>
      <c r="Q77" s="32"/>
      <c r="R77" s="32"/>
      <c r="S77" s="31"/>
      <c r="T77" s="31">
        <v>0.56416281770791132</v>
      </c>
    </row>
    <row r="78" spans="2:20" s="27" customFormat="1" x14ac:dyDescent="0.4">
      <c r="B78" s="29">
        <v>20240702</v>
      </c>
      <c r="C78" s="29" t="s">
        <v>34</v>
      </c>
      <c r="D78" s="30" t="s">
        <v>35</v>
      </c>
      <c r="E78" s="30">
        <v>11727088</v>
      </c>
      <c r="F78" s="30">
        <v>2360318</v>
      </c>
      <c r="G78" s="31">
        <v>0.20130000000000001</v>
      </c>
      <c r="H78" s="30">
        <v>188144784</v>
      </c>
      <c r="I78" s="32">
        <v>80.34</v>
      </c>
      <c r="J78" s="32">
        <v>68.58</v>
      </c>
      <c r="K78" s="32">
        <v>82.89</v>
      </c>
      <c r="L78" s="30">
        <v>399532706</v>
      </c>
      <c r="M78" s="32">
        <v>95.59</v>
      </c>
      <c r="N78" s="29">
        <v>2147466</v>
      </c>
      <c r="O78" s="33">
        <v>8.4699999999999998E-2</v>
      </c>
      <c r="P78" s="30">
        <v>2269780</v>
      </c>
      <c r="Q78" s="32">
        <v>36</v>
      </c>
      <c r="R78" s="32">
        <v>56.91</v>
      </c>
      <c r="S78" s="31">
        <v>0.64589548647868344</v>
      </c>
      <c r="T78" s="31">
        <v>0.58930752083072258</v>
      </c>
    </row>
    <row r="79" spans="2:20" s="27" customFormat="1" x14ac:dyDescent="0.4">
      <c r="B79" s="29">
        <v>20240702</v>
      </c>
      <c r="C79" s="29" t="s">
        <v>34</v>
      </c>
      <c r="D79" s="30" t="s">
        <v>36</v>
      </c>
      <c r="E79" s="30">
        <v>9537494</v>
      </c>
      <c r="F79" s="30">
        <v>1675698</v>
      </c>
      <c r="G79" s="31">
        <v>0.1757</v>
      </c>
      <c r="H79" s="30">
        <v>211387922</v>
      </c>
      <c r="I79" s="32">
        <v>47.92</v>
      </c>
      <c r="J79" s="32">
        <v>72.22</v>
      </c>
      <c r="K79" s="32">
        <v>93.13</v>
      </c>
      <c r="L79" s="30"/>
      <c r="M79" s="32"/>
      <c r="N79" s="29"/>
      <c r="O79" s="33"/>
      <c r="P79" s="30"/>
      <c r="Q79" s="32"/>
      <c r="R79" s="32"/>
      <c r="S79" s="31"/>
      <c r="T79" s="31">
        <v>0.57855291062108816</v>
      </c>
    </row>
    <row r="80" spans="2:20" s="27" customFormat="1" x14ac:dyDescent="0.4">
      <c r="B80" s="29">
        <v>20240702</v>
      </c>
      <c r="C80" s="29" t="s">
        <v>34</v>
      </c>
      <c r="D80" s="30" t="s">
        <v>37</v>
      </c>
      <c r="E80" s="30">
        <v>1391321</v>
      </c>
      <c r="F80" s="30">
        <v>261858</v>
      </c>
      <c r="G80" s="31">
        <v>0.18820000000000001</v>
      </c>
      <c r="H80" s="30">
        <v>28411773</v>
      </c>
      <c r="I80" s="32">
        <v>110.01</v>
      </c>
      <c r="J80" s="32">
        <v>58.85</v>
      </c>
      <c r="K80" s="32"/>
      <c r="L80" s="30"/>
      <c r="M80" s="32"/>
      <c r="N80" s="29"/>
      <c r="O80" s="33"/>
      <c r="P80" s="30"/>
      <c r="Q80" s="32"/>
      <c r="R80" s="32"/>
      <c r="S80" s="31"/>
      <c r="T80" s="31">
        <v>0.38055894149103492</v>
      </c>
    </row>
    <row r="81" spans="2:20" s="27" customFormat="1" x14ac:dyDescent="0.4">
      <c r="B81" s="29">
        <v>20240702</v>
      </c>
      <c r="C81" s="29" t="s">
        <v>34</v>
      </c>
      <c r="D81" s="30" t="s">
        <v>38</v>
      </c>
      <c r="E81" s="30">
        <v>2915345</v>
      </c>
      <c r="F81" s="30">
        <v>551509</v>
      </c>
      <c r="G81" s="31">
        <v>0.18920000000000001</v>
      </c>
      <c r="H81" s="30">
        <v>32652493</v>
      </c>
      <c r="I81" s="32">
        <v>59.14</v>
      </c>
      <c r="J81" s="32">
        <v>70.400000000000006</v>
      </c>
      <c r="K81" s="32"/>
      <c r="L81" s="30"/>
      <c r="M81" s="32"/>
      <c r="N81" s="29"/>
      <c r="O81" s="33"/>
      <c r="P81" s="30"/>
      <c r="Q81" s="32"/>
      <c r="R81" s="32"/>
      <c r="S81" s="31"/>
      <c r="T81" s="31">
        <v>0.33885879857146511</v>
      </c>
    </row>
    <row r="82" spans="2:20" s="27" customFormat="1" x14ac:dyDescent="0.4">
      <c r="B82" s="29">
        <v>20240702</v>
      </c>
      <c r="C82" s="29" t="s">
        <v>34</v>
      </c>
      <c r="D82" s="30" t="s">
        <v>39</v>
      </c>
      <c r="E82" s="30">
        <v>5230828</v>
      </c>
      <c r="F82" s="30">
        <v>862331</v>
      </c>
      <c r="G82" s="31">
        <v>0.16489999999999999</v>
      </c>
      <c r="H82" s="30">
        <v>150323656</v>
      </c>
      <c r="I82" s="32">
        <v>22.62</v>
      </c>
      <c r="J82" s="32">
        <v>77.3</v>
      </c>
      <c r="K82" s="32"/>
      <c r="L82" s="30"/>
      <c r="M82" s="32"/>
      <c r="N82" s="29"/>
      <c r="O82" s="33"/>
      <c r="P82" s="30"/>
      <c r="Q82" s="32"/>
      <c r="R82" s="32"/>
      <c r="S82" s="31"/>
      <c r="T82" s="31">
        <v>0.55357878382772696</v>
      </c>
    </row>
    <row r="83" spans="2:20" s="27" customFormat="1" x14ac:dyDescent="0.4">
      <c r="B83" s="29">
        <v>20240701</v>
      </c>
      <c r="C83" s="29" t="s">
        <v>34</v>
      </c>
      <c r="D83" s="30" t="s">
        <v>35</v>
      </c>
      <c r="E83" s="30">
        <v>12088187</v>
      </c>
      <c r="F83" s="30">
        <v>2455637</v>
      </c>
      <c r="G83" s="31">
        <v>0.2031</v>
      </c>
      <c r="H83" s="30">
        <v>179525786</v>
      </c>
      <c r="I83" s="32">
        <v>73.61</v>
      </c>
      <c r="J83" s="32">
        <v>71.599999999999994</v>
      </c>
      <c r="K83" s="32">
        <v>78.86</v>
      </c>
      <c r="L83" s="30">
        <v>396596329</v>
      </c>
      <c r="M83" s="32">
        <v>86.55</v>
      </c>
      <c r="N83" s="29">
        <v>2154656</v>
      </c>
      <c r="O83" s="33">
        <v>8.6999999999999994E-2</v>
      </c>
      <c r="P83" s="30">
        <v>2276572</v>
      </c>
      <c r="Q83" s="32">
        <v>35.28</v>
      </c>
      <c r="R83" s="32">
        <v>55.77</v>
      </c>
      <c r="S83" s="31">
        <v>0.65800993013700371</v>
      </c>
      <c r="T83" s="31">
        <v>0.61147802157354758</v>
      </c>
    </row>
    <row r="84" spans="2:20" s="27" customFormat="1" x14ac:dyDescent="0.4">
      <c r="B84" s="29">
        <v>20240701</v>
      </c>
      <c r="C84" s="29" t="s">
        <v>34</v>
      </c>
      <c r="D84" s="30" t="s">
        <v>36</v>
      </c>
      <c r="E84" s="30">
        <v>9930487</v>
      </c>
      <c r="F84" s="30">
        <v>1724171</v>
      </c>
      <c r="G84" s="31">
        <v>0.1736</v>
      </c>
      <c r="H84" s="30">
        <v>217070543</v>
      </c>
      <c r="I84" s="32">
        <v>40.380000000000003</v>
      </c>
      <c r="J84" s="32">
        <v>72.06</v>
      </c>
      <c r="K84" s="32">
        <v>95.35</v>
      </c>
      <c r="L84" s="30"/>
      <c r="M84" s="32"/>
      <c r="N84" s="29"/>
      <c r="O84" s="33"/>
      <c r="P84" s="30"/>
      <c r="Q84" s="32"/>
      <c r="R84" s="32"/>
      <c r="S84" s="31"/>
      <c r="T84" s="31">
        <v>0.56832756579023003</v>
      </c>
    </row>
    <row r="85" spans="2:20" s="27" customFormat="1" x14ac:dyDescent="0.4">
      <c r="B85" s="29">
        <v>20240701</v>
      </c>
      <c r="C85" s="29" t="s">
        <v>34</v>
      </c>
      <c r="D85" s="30" t="s">
        <v>37</v>
      </c>
      <c r="E85" s="30">
        <v>1002357</v>
      </c>
      <c r="F85" s="30">
        <v>181816</v>
      </c>
      <c r="G85" s="31">
        <v>0.18140000000000001</v>
      </c>
      <c r="H85" s="30">
        <v>15756531</v>
      </c>
      <c r="I85" s="32">
        <v>87.98</v>
      </c>
      <c r="J85" s="32">
        <v>55.24</v>
      </c>
      <c r="K85" s="32"/>
      <c r="L85" s="30"/>
      <c r="M85" s="32"/>
      <c r="N85" s="29"/>
      <c r="O85" s="33"/>
      <c r="P85" s="30"/>
      <c r="Q85" s="32"/>
      <c r="R85" s="32"/>
      <c r="S85" s="31"/>
      <c r="T85" s="31">
        <v>0.32261414154525098</v>
      </c>
    </row>
    <row r="86" spans="2:20" s="27" customFormat="1" x14ac:dyDescent="0.4">
      <c r="B86" s="29">
        <v>20240701</v>
      </c>
      <c r="C86" s="29" t="s">
        <v>34</v>
      </c>
      <c r="D86" s="30" t="s">
        <v>38</v>
      </c>
      <c r="E86" s="30">
        <v>3211040</v>
      </c>
      <c r="F86" s="30">
        <v>584909</v>
      </c>
      <c r="G86" s="31">
        <v>0.1822</v>
      </c>
      <c r="H86" s="30">
        <v>31129381</v>
      </c>
      <c r="I86" s="32">
        <v>53.42</v>
      </c>
      <c r="J86" s="32">
        <v>69.06</v>
      </c>
      <c r="K86" s="32"/>
      <c r="L86" s="30"/>
      <c r="M86" s="32"/>
      <c r="N86" s="29"/>
      <c r="O86" s="33"/>
      <c r="P86" s="30"/>
      <c r="Q86" s="32"/>
      <c r="R86" s="32"/>
      <c r="S86" s="31"/>
      <c r="T86" s="31">
        <v>0.36448313915581743</v>
      </c>
    </row>
    <row r="87" spans="2:20" s="27" customFormat="1" x14ac:dyDescent="0.4">
      <c r="B87" s="29">
        <v>20240701</v>
      </c>
      <c r="C87" s="29" t="s">
        <v>34</v>
      </c>
      <c r="D87" s="30" t="s">
        <v>39</v>
      </c>
      <c r="E87" s="30">
        <v>5717090</v>
      </c>
      <c r="F87" s="30">
        <v>957446</v>
      </c>
      <c r="G87" s="31">
        <v>0.16750000000000001</v>
      </c>
      <c r="H87" s="30">
        <v>170184630</v>
      </c>
      <c r="I87" s="32">
        <v>23.79</v>
      </c>
      <c r="J87" s="32">
        <v>76.95</v>
      </c>
      <c r="K87" s="32"/>
      <c r="L87" s="30"/>
      <c r="M87" s="32"/>
      <c r="N87" s="29"/>
      <c r="O87" s="33"/>
      <c r="P87" s="30"/>
      <c r="Q87" s="32"/>
      <c r="R87" s="32"/>
      <c r="S87" s="31"/>
      <c r="T87" s="31">
        <v>0.53194829118316678</v>
      </c>
    </row>
    <row r="88" spans="2:20" x14ac:dyDescent="0.25">
      <c r="B88" s="20"/>
      <c r="C88" s="20"/>
      <c r="D88" s="20"/>
      <c r="E88" s="20"/>
      <c r="F88" s="20"/>
      <c r="G88" s="34"/>
      <c r="H88" s="35"/>
      <c r="I88" s="36"/>
      <c r="J88" s="37"/>
      <c r="K88" s="38"/>
      <c r="L88" s="39"/>
      <c r="M88" s="40" t="s">
        <v>64</v>
      </c>
      <c r="N88" s="41"/>
      <c r="O88" s="20"/>
      <c r="P88" s="20"/>
      <c r="Q88" s="42"/>
      <c r="R88" s="43"/>
    </row>
    <row r="89" spans="2:20" x14ac:dyDescent="0.25">
      <c r="B89" s="20"/>
      <c r="C89" s="20"/>
      <c r="D89" s="20"/>
      <c r="E89" s="20"/>
      <c r="F89" s="20"/>
      <c r="G89" s="34"/>
      <c r="H89" s="35"/>
      <c r="I89" s="36"/>
      <c r="J89" s="37"/>
      <c r="K89" s="38"/>
      <c r="L89" s="39"/>
      <c r="M89" s="40"/>
      <c r="N89" s="41"/>
      <c r="O89" s="20"/>
      <c r="P89" s="20"/>
      <c r="Q89" s="42"/>
      <c r="R89" s="43"/>
    </row>
    <row r="90" spans="2:20" x14ac:dyDescent="0.25">
      <c r="B90" s="20"/>
      <c r="C90" s="20"/>
      <c r="D90" s="20"/>
      <c r="E90" s="20"/>
      <c r="F90" s="20"/>
      <c r="G90" s="44"/>
      <c r="H90" s="35"/>
      <c r="I90" s="36"/>
      <c r="J90" s="37"/>
      <c r="K90" s="38"/>
      <c r="L90" s="39"/>
      <c r="M90" s="40" t="s">
        <v>65</v>
      </c>
      <c r="N90" s="41"/>
      <c r="O90" s="20"/>
      <c r="P90" s="20"/>
      <c r="Q90" s="42"/>
      <c r="R90" s="42"/>
    </row>
    <row r="91" spans="2:20" ht="66" x14ac:dyDescent="0.25">
      <c r="B91" s="24" t="s">
        <v>49</v>
      </c>
      <c r="C91" s="24" t="s">
        <v>0</v>
      </c>
      <c r="D91" s="24" t="s">
        <v>40</v>
      </c>
      <c r="E91" s="24" t="s">
        <v>41</v>
      </c>
      <c r="F91" s="24" t="s">
        <v>6</v>
      </c>
      <c r="G91" s="24" t="s">
        <v>42</v>
      </c>
      <c r="H91" s="24" t="s">
        <v>43</v>
      </c>
      <c r="I91" s="24" t="s">
        <v>44</v>
      </c>
      <c r="J91" s="45"/>
      <c r="K91" s="45"/>
      <c r="L91" s="45"/>
      <c r="M91" s="46"/>
      <c r="N91" s="47"/>
      <c r="O91" s="45"/>
      <c r="P91" s="45"/>
      <c r="Q91" s="42"/>
      <c r="R91" s="42"/>
    </row>
    <row r="92" spans="2:20" x14ac:dyDescent="0.4">
      <c r="B92" s="29">
        <v>20240716</v>
      </c>
      <c r="C92" s="29" t="s">
        <v>34</v>
      </c>
      <c r="D92" s="29" t="s">
        <v>45</v>
      </c>
      <c r="E92" s="30">
        <v>3415977</v>
      </c>
      <c r="F92" s="30">
        <v>965720</v>
      </c>
      <c r="G92" s="48">
        <v>0.28270000000000001</v>
      </c>
      <c r="H92" s="48">
        <v>0.35820000000000002</v>
      </c>
      <c r="I92" s="48">
        <v>0.36609999999999998</v>
      </c>
      <c r="J92" s="45"/>
      <c r="K92" s="45"/>
      <c r="L92" s="45"/>
      <c r="M92" s="46"/>
      <c r="N92" s="47"/>
      <c r="O92" s="45"/>
      <c r="P92" s="45"/>
      <c r="Q92" s="42"/>
      <c r="R92" s="42"/>
    </row>
    <row r="93" spans="2:20" x14ac:dyDescent="0.4">
      <c r="B93" s="29">
        <v>20240716</v>
      </c>
      <c r="C93" s="29" t="s">
        <v>34</v>
      </c>
      <c r="D93" s="29" t="s">
        <v>46</v>
      </c>
      <c r="E93" s="30">
        <v>3415977</v>
      </c>
      <c r="F93" s="30">
        <v>818869</v>
      </c>
      <c r="G93" s="48">
        <v>0.2397</v>
      </c>
      <c r="H93" s="48"/>
      <c r="I93" s="48"/>
      <c r="J93" s="45"/>
      <c r="K93" s="45"/>
      <c r="L93" s="45"/>
      <c r="M93" s="46"/>
      <c r="N93" s="47"/>
      <c r="O93" s="45"/>
      <c r="P93" s="45"/>
      <c r="Q93" s="42"/>
      <c r="R93" s="42"/>
    </row>
    <row r="94" spans="2:20" x14ac:dyDescent="0.4">
      <c r="B94" s="29">
        <v>20240716</v>
      </c>
      <c r="C94" s="29" t="s">
        <v>34</v>
      </c>
      <c r="D94" s="29" t="s">
        <v>45</v>
      </c>
      <c r="E94" s="30">
        <v>3415977</v>
      </c>
      <c r="F94" s="30">
        <v>965720</v>
      </c>
      <c r="G94" s="48">
        <v>0.28270000000000001</v>
      </c>
      <c r="H94" s="48">
        <v>0.35820000000000002</v>
      </c>
      <c r="I94" s="48">
        <v>0.36609999999999998</v>
      </c>
      <c r="J94" s="45"/>
      <c r="K94" s="45"/>
      <c r="L94" s="45"/>
      <c r="M94" s="46"/>
      <c r="N94" s="47"/>
      <c r="O94" s="45"/>
      <c r="P94" s="45"/>
      <c r="Q94" s="42"/>
      <c r="R94" s="42"/>
    </row>
    <row r="95" spans="2:20" x14ac:dyDescent="0.4">
      <c r="B95" s="29">
        <v>20240716</v>
      </c>
      <c r="C95" s="29" t="s">
        <v>34</v>
      </c>
      <c r="D95" s="29" t="s">
        <v>46</v>
      </c>
      <c r="E95" s="30">
        <v>3415977</v>
      </c>
      <c r="F95" s="30">
        <v>818869</v>
      </c>
      <c r="G95" s="48">
        <v>0.2397</v>
      </c>
      <c r="H95" s="48"/>
      <c r="I95" s="48"/>
      <c r="J95" s="45"/>
      <c r="K95" s="45"/>
      <c r="L95" s="45"/>
      <c r="M95" s="46"/>
      <c r="N95" s="47"/>
      <c r="O95" s="45"/>
      <c r="P95" s="45"/>
      <c r="Q95" s="42"/>
      <c r="R95" s="42"/>
    </row>
    <row r="96" spans="2:20" x14ac:dyDescent="0.4">
      <c r="B96" s="29">
        <v>20240715</v>
      </c>
      <c r="C96" s="29" t="s">
        <v>34</v>
      </c>
      <c r="D96" s="29" t="s">
        <v>45</v>
      </c>
      <c r="E96" s="30">
        <v>3463048</v>
      </c>
      <c r="F96" s="30">
        <v>1045480</v>
      </c>
      <c r="G96" s="48">
        <v>0.3019</v>
      </c>
      <c r="H96" s="48">
        <v>0.37409999999999999</v>
      </c>
      <c r="I96" s="48">
        <v>0.38250000000000001</v>
      </c>
      <c r="J96" s="45"/>
      <c r="K96" s="45"/>
      <c r="L96" s="45"/>
      <c r="M96" s="46"/>
      <c r="N96" s="47"/>
      <c r="O96" s="45"/>
      <c r="P96" s="45"/>
      <c r="Q96" s="42"/>
      <c r="R96" s="42"/>
    </row>
    <row r="97" spans="2:18" x14ac:dyDescent="0.4">
      <c r="B97" s="29">
        <v>20240715</v>
      </c>
      <c r="C97" s="29" t="s">
        <v>34</v>
      </c>
      <c r="D97" s="29" t="s">
        <v>46</v>
      </c>
      <c r="E97" s="30">
        <v>3463048</v>
      </c>
      <c r="F97" s="30">
        <v>847468</v>
      </c>
      <c r="G97" s="48">
        <v>0.2447</v>
      </c>
      <c r="H97" s="48"/>
      <c r="I97" s="48"/>
      <c r="J97" s="45"/>
      <c r="K97" s="45"/>
      <c r="L97" s="45"/>
      <c r="M97" s="46"/>
      <c r="N97" s="47"/>
      <c r="O97" s="45"/>
      <c r="P97" s="45"/>
      <c r="Q97" s="42"/>
      <c r="R97" s="42"/>
    </row>
    <row r="98" spans="2:18" x14ac:dyDescent="0.4">
      <c r="B98" s="29">
        <v>20240714</v>
      </c>
      <c r="C98" s="29" t="s">
        <v>34</v>
      </c>
      <c r="D98" s="29" t="s">
        <v>45</v>
      </c>
      <c r="E98" s="30">
        <v>3393719</v>
      </c>
      <c r="F98" s="30">
        <v>1119496</v>
      </c>
      <c r="G98" s="48">
        <v>0.32990000000000003</v>
      </c>
      <c r="H98" s="48">
        <v>0.4012</v>
      </c>
      <c r="I98" s="48">
        <v>0.40870000000000001</v>
      </c>
      <c r="J98" s="45"/>
      <c r="K98" s="45"/>
      <c r="L98" s="45"/>
      <c r="M98" s="46"/>
      <c r="N98" s="47"/>
      <c r="O98" s="45"/>
      <c r="P98" s="45"/>
      <c r="Q98" s="42"/>
      <c r="R98" s="42"/>
    </row>
    <row r="99" spans="2:18" x14ac:dyDescent="0.4">
      <c r="B99" s="29">
        <v>20240714</v>
      </c>
      <c r="C99" s="29" t="s">
        <v>34</v>
      </c>
      <c r="D99" s="29" t="s">
        <v>46</v>
      </c>
      <c r="E99" s="30">
        <v>3393719</v>
      </c>
      <c r="F99" s="30">
        <v>920348</v>
      </c>
      <c r="G99" s="48">
        <v>0.2712</v>
      </c>
      <c r="H99" s="48"/>
      <c r="I99" s="48"/>
      <c r="J99" s="45"/>
      <c r="K99" s="45"/>
      <c r="L99" s="45"/>
      <c r="M99" s="46"/>
      <c r="N99" s="47"/>
      <c r="O99" s="45"/>
      <c r="P99" s="45"/>
      <c r="Q99" s="42"/>
      <c r="R99" s="42"/>
    </row>
    <row r="100" spans="2:18" x14ac:dyDescent="0.4">
      <c r="B100" s="29">
        <v>20240713</v>
      </c>
      <c r="C100" s="29" t="s">
        <v>34</v>
      </c>
      <c r="D100" s="29" t="s">
        <v>45</v>
      </c>
      <c r="E100" s="30">
        <v>3299757</v>
      </c>
      <c r="F100" s="30">
        <v>975600</v>
      </c>
      <c r="G100" s="48">
        <v>0.29570000000000002</v>
      </c>
      <c r="H100" s="48">
        <v>0.37590000000000001</v>
      </c>
      <c r="I100" s="48">
        <v>0.3871</v>
      </c>
      <c r="J100" s="45"/>
      <c r="K100" s="45"/>
      <c r="L100" s="45"/>
      <c r="M100" s="46"/>
      <c r="N100" s="47"/>
      <c r="O100" s="45"/>
      <c r="P100" s="45"/>
      <c r="Q100" s="42"/>
      <c r="R100" s="42"/>
    </row>
    <row r="101" spans="2:18" x14ac:dyDescent="0.4">
      <c r="B101" s="29">
        <v>20240713</v>
      </c>
      <c r="C101" s="29" t="s">
        <v>34</v>
      </c>
      <c r="D101" s="29" t="s">
        <v>46</v>
      </c>
      <c r="E101" s="30">
        <v>3299757</v>
      </c>
      <c r="F101" s="30">
        <v>835837</v>
      </c>
      <c r="G101" s="48">
        <v>0.25330000000000003</v>
      </c>
      <c r="H101" s="48"/>
      <c r="I101" s="48"/>
      <c r="J101" s="45"/>
      <c r="K101" s="45"/>
      <c r="L101" s="45"/>
      <c r="M101" s="46"/>
      <c r="N101" s="47"/>
      <c r="O101" s="45"/>
      <c r="P101" s="45"/>
      <c r="Q101" s="42"/>
      <c r="R101" s="42"/>
    </row>
    <row r="102" spans="2:18" x14ac:dyDescent="0.4">
      <c r="B102" s="29">
        <v>20240712</v>
      </c>
      <c r="C102" s="29" t="s">
        <v>34</v>
      </c>
      <c r="D102" s="29" t="s">
        <v>45</v>
      </c>
      <c r="E102" s="30">
        <v>3330208</v>
      </c>
      <c r="F102" s="30">
        <v>985053</v>
      </c>
      <c r="G102" s="48">
        <v>0.29580000000000001</v>
      </c>
      <c r="H102" s="48">
        <v>0.37880000000000003</v>
      </c>
      <c r="I102" s="48">
        <v>0.38890000000000002</v>
      </c>
      <c r="J102" s="45"/>
      <c r="K102" s="45"/>
      <c r="L102" s="45"/>
      <c r="M102" s="46"/>
      <c r="N102" s="47"/>
      <c r="O102" s="45"/>
      <c r="P102" s="45"/>
      <c r="Q102" s="42"/>
      <c r="R102" s="42"/>
    </row>
    <row r="103" spans="2:18" x14ac:dyDescent="0.4">
      <c r="B103" s="29">
        <v>20240712</v>
      </c>
      <c r="C103" s="29" t="s">
        <v>34</v>
      </c>
      <c r="D103" s="29" t="s">
        <v>46</v>
      </c>
      <c r="E103" s="30">
        <v>3330208</v>
      </c>
      <c r="F103" s="30">
        <v>873458</v>
      </c>
      <c r="G103" s="48">
        <v>0.26229999999999998</v>
      </c>
      <c r="H103" s="48"/>
      <c r="I103" s="48"/>
      <c r="J103" s="45"/>
      <c r="K103" s="45"/>
      <c r="L103" s="45"/>
      <c r="M103" s="46"/>
      <c r="N103" s="47"/>
      <c r="O103" s="45"/>
      <c r="P103" s="45"/>
      <c r="Q103" s="42"/>
      <c r="R103" s="42"/>
    </row>
    <row r="104" spans="2:18" x14ac:dyDescent="0.4">
      <c r="B104" s="29">
        <v>20240711</v>
      </c>
      <c r="C104" s="29" t="s">
        <v>34</v>
      </c>
      <c r="D104" s="29" t="s">
        <v>45</v>
      </c>
      <c r="E104" s="30">
        <v>3292191</v>
      </c>
      <c r="F104" s="30">
        <v>1066821</v>
      </c>
      <c r="G104" s="48">
        <v>0.32400000000000001</v>
      </c>
      <c r="H104" s="48">
        <v>0.3987</v>
      </c>
      <c r="I104" s="48">
        <v>0.40770000000000001</v>
      </c>
      <c r="J104" s="45"/>
      <c r="K104" s="45"/>
      <c r="L104" s="45"/>
      <c r="M104" s="46"/>
      <c r="N104" s="47"/>
      <c r="O104" s="45"/>
      <c r="P104" s="45"/>
      <c r="Q104" s="42"/>
      <c r="R104" s="42"/>
    </row>
    <row r="105" spans="2:18" x14ac:dyDescent="0.4">
      <c r="B105" s="29">
        <v>20240711</v>
      </c>
      <c r="C105" s="29" t="s">
        <v>34</v>
      </c>
      <c r="D105" s="29" t="s">
        <v>46</v>
      </c>
      <c r="E105" s="30">
        <v>3292191</v>
      </c>
      <c r="F105" s="30">
        <v>892040</v>
      </c>
      <c r="G105" s="48">
        <v>0.27100000000000002</v>
      </c>
      <c r="H105" s="48"/>
      <c r="I105" s="48"/>
      <c r="J105" s="45"/>
      <c r="K105" s="45"/>
      <c r="L105" s="45"/>
      <c r="M105" s="46"/>
      <c r="N105" s="47"/>
      <c r="O105" s="45"/>
      <c r="P105" s="45"/>
      <c r="Q105" s="42"/>
      <c r="R105" s="42"/>
    </row>
    <row r="106" spans="2:18" x14ac:dyDescent="0.4">
      <c r="B106" s="29">
        <v>20240710</v>
      </c>
      <c r="C106" s="29" t="s">
        <v>34</v>
      </c>
      <c r="D106" s="29" t="s">
        <v>45</v>
      </c>
      <c r="E106" s="30">
        <v>3374735</v>
      </c>
      <c r="F106" s="30">
        <v>1070215</v>
      </c>
      <c r="G106" s="48">
        <v>0.31709999999999999</v>
      </c>
      <c r="H106" s="48">
        <v>0.38890000000000002</v>
      </c>
      <c r="I106" s="48">
        <v>0.39579999999999999</v>
      </c>
      <c r="J106" s="45"/>
      <c r="K106" s="45"/>
      <c r="L106" s="45"/>
      <c r="M106" s="46"/>
      <c r="N106" s="47"/>
      <c r="O106" s="45"/>
      <c r="P106" s="45"/>
      <c r="Q106" s="42"/>
      <c r="R106" s="42"/>
    </row>
    <row r="107" spans="2:18" x14ac:dyDescent="0.4">
      <c r="B107" s="29">
        <v>20240710</v>
      </c>
      <c r="C107" s="29" t="s">
        <v>34</v>
      </c>
      <c r="D107" s="29" t="s">
        <v>46</v>
      </c>
      <c r="E107" s="30">
        <v>3374735</v>
      </c>
      <c r="F107" s="30">
        <v>868176</v>
      </c>
      <c r="G107" s="48">
        <v>0.25729999999999997</v>
      </c>
      <c r="H107" s="48"/>
      <c r="I107" s="48"/>
      <c r="J107" s="45"/>
      <c r="K107" s="45"/>
      <c r="L107" s="45"/>
      <c r="M107" s="46"/>
      <c r="N107" s="47"/>
      <c r="O107" s="45"/>
      <c r="P107" s="45"/>
      <c r="Q107" s="42"/>
      <c r="R107" s="42"/>
    </row>
    <row r="108" spans="2:18" x14ac:dyDescent="0.4">
      <c r="B108" s="29">
        <v>20240709</v>
      </c>
      <c r="C108" s="29" t="s">
        <v>34</v>
      </c>
      <c r="D108" s="29" t="s">
        <v>45</v>
      </c>
      <c r="E108" s="30">
        <v>3422245</v>
      </c>
      <c r="F108" s="30">
        <v>989719</v>
      </c>
      <c r="G108" s="48">
        <v>0.28920000000000001</v>
      </c>
      <c r="H108" s="48">
        <v>0.37080000000000002</v>
      </c>
      <c r="I108" s="48">
        <v>0.38040000000000002</v>
      </c>
      <c r="J108" s="45"/>
      <c r="K108" s="45"/>
      <c r="L108" s="45"/>
      <c r="M108" s="46"/>
      <c r="N108" s="47"/>
      <c r="O108" s="45"/>
      <c r="P108" s="45"/>
      <c r="Q108" s="42"/>
      <c r="R108" s="42"/>
    </row>
    <row r="109" spans="2:18" x14ac:dyDescent="0.4">
      <c r="B109" s="29">
        <v>20240709</v>
      </c>
      <c r="C109" s="29" t="s">
        <v>34</v>
      </c>
      <c r="D109" s="29" t="s">
        <v>46</v>
      </c>
      <c r="E109" s="30">
        <v>3422245</v>
      </c>
      <c r="F109" s="30">
        <v>884627</v>
      </c>
      <c r="G109" s="48">
        <v>0.25850000000000001</v>
      </c>
      <c r="H109" s="48"/>
      <c r="I109" s="48"/>
      <c r="J109" s="45"/>
      <c r="K109" s="45"/>
      <c r="L109" s="45"/>
      <c r="M109" s="46"/>
      <c r="N109" s="47"/>
      <c r="O109" s="45"/>
      <c r="P109" s="45"/>
      <c r="Q109" s="42"/>
      <c r="R109" s="42"/>
    </row>
    <row r="110" spans="2:18" x14ac:dyDescent="0.4">
      <c r="B110" s="29">
        <v>20240708</v>
      </c>
      <c r="C110" s="29" t="s">
        <v>34</v>
      </c>
      <c r="D110" s="29" t="s">
        <v>45</v>
      </c>
      <c r="E110" s="30">
        <v>3421519</v>
      </c>
      <c r="F110" s="30">
        <v>982608</v>
      </c>
      <c r="G110" s="48">
        <v>0.28720000000000001</v>
      </c>
      <c r="H110" s="48">
        <v>0.36870000000000003</v>
      </c>
      <c r="I110" s="48">
        <v>0.37930000000000003</v>
      </c>
      <c r="J110" s="45"/>
      <c r="K110" s="45"/>
      <c r="L110" s="45"/>
      <c r="M110" s="46"/>
      <c r="N110" s="47"/>
      <c r="O110" s="45"/>
      <c r="P110" s="45"/>
      <c r="Q110" s="42"/>
      <c r="R110" s="42"/>
    </row>
    <row r="111" spans="2:18" x14ac:dyDescent="0.4">
      <c r="B111" s="29">
        <v>20240708</v>
      </c>
      <c r="C111" s="29" t="s">
        <v>34</v>
      </c>
      <c r="D111" s="29" t="s">
        <v>46</v>
      </c>
      <c r="E111" s="30">
        <v>3421519</v>
      </c>
      <c r="F111" s="30">
        <v>869665</v>
      </c>
      <c r="G111" s="48">
        <v>0.25419999999999998</v>
      </c>
      <c r="H111" s="48"/>
      <c r="I111" s="48"/>
      <c r="J111" s="45"/>
      <c r="K111" s="45"/>
      <c r="L111" s="45"/>
      <c r="M111" s="46"/>
      <c r="N111" s="47"/>
      <c r="O111" s="45"/>
      <c r="P111" s="45"/>
      <c r="Q111" s="42"/>
      <c r="R111" s="42"/>
    </row>
    <row r="112" spans="2:18" x14ac:dyDescent="0.4">
      <c r="B112" s="29">
        <v>20240707</v>
      </c>
      <c r="C112" s="29" t="s">
        <v>34</v>
      </c>
      <c r="D112" s="29" t="s">
        <v>45</v>
      </c>
      <c r="E112" s="30">
        <v>3342162</v>
      </c>
      <c r="F112" s="30">
        <v>1006271</v>
      </c>
      <c r="G112" s="48">
        <v>0.30109999999999998</v>
      </c>
      <c r="H112" s="48">
        <v>0.37459999999999999</v>
      </c>
      <c r="I112" s="48">
        <v>0.38790000000000002</v>
      </c>
      <c r="J112" s="45"/>
      <c r="K112" s="45"/>
      <c r="L112" s="45"/>
      <c r="M112" s="46"/>
      <c r="N112" s="47"/>
      <c r="O112" s="45"/>
      <c r="P112" s="45"/>
      <c r="Q112" s="42"/>
      <c r="R112" s="42"/>
    </row>
    <row r="113" spans="2:18" x14ac:dyDescent="0.4">
      <c r="B113" s="29">
        <v>20240707</v>
      </c>
      <c r="C113" s="29" t="s">
        <v>34</v>
      </c>
      <c r="D113" s="29" t="s">
        <v>46</v>
      </c>
      <c r="E113" s="30">
        <v>3342162</v>
      </c>
      <c r="F113" s="30">
        <v>823862</v>
      </c>
      <c r="G113" s="48">
        <v>0.2465</v>
      </c>
      <c r="H113" s="48"/>
      <c r="I113" s="48"/>
      <c r="J113" s="45"/>
      <c r="K113" s="45"/>
      <c r="L113" s="45"/>
      <c r="M113" s="46"/>
      <c r="N113" s="47"/>
      <c r="O113" s="45"/>
      <c r="P113" s="45"/>
      <c r="Q113" s="42"/>
      <c r="R113" s="42"/>
    </row>
    <row r="114" spans="2:18" x14ac:dyDescent="0.4">
      <c r="B114" s="29">
        <v>20240706</v>
      </c>
      <c r="C114" s="29" t="s">
        <v>34</v>
      </c>
      <c r="D114" s="29" t="s">
        <v>45</v>
      </c>
      <c r="E114" s="30">
        <v>3392024</v>
      </c>
      <c r="F114" s="30">
        <v>1033353</v>
      </c>
      <c r="G114" s="48">
        <v>0.30459999999999998</v>
      </c>
      <c r="H114" s="48">
        <v>0.37780000000000002</v>
      </c>
      <c r="I114" s="48">
        <v>0.39269999999999999</v>
      </c>
      <c r="J114" s="45"/>
      <c r="K114" s="45"/>
      <c r="L114" s="45"/>
      <c r="M114" s="46"/>
      <c r="N114" s="47"/>
      <c r="O114" s="45"/>
      <c r="P114" s="45"/>
      <c r="Q114" s="42"/>
      <c r="R114" s="42"/>
    </row>
    <row r="115" spans="2:18" x14ac:dyDescent="0.4">
      <c r="B115" s="29">
        <v>20240706</v>
      </c>
      <c r="C115" s="29" t="s">
        <v>34</v>
      </c>
      <c r="D115" s="29" t="s">
        <v>46</v>
      </c>
      <c r="E115" s="30">
        <v>3392024</v>
      </c>
      <c r="F115" s="30">
        <v>857703</v>
      </c>
      <c r="G115" s="48">
        <v>0.25290000000000001</v>
      </c>
      <c r="H115" s="48"/>
      <c r="I115" s="48"/>
      <c r="J115" s="45"/>
      <c r="K115" s="45"/>
      <c r="L115" s="45"/>
      <c r="M115" s="46"/>
      <c r="N115" s="47"/>
      <c r="O115" s="45"/>
      <c r="P115" s="45"/>
      <c r="Q115" s="42"/>
      <c r="R115" s="42"/>
    </row>
    <row r="116" spans="2:18" x14ac:dyDescent="0.4">
      <c r="B116" s="29">
        <v>20240705</v>
      </c>
      <c r="C116" s="29" t="s">
        <v>34</v>
      </c>
      <c r="D116" s="29" t="s">
        <v>45</v>
      </c>
      <c r="E116" s="30">
        <v>3396127</v>
      </c>
      <c r="F116" s="30">
        <v>1026109</v>
      </c>
      <c r="G116" s="48">
        <v>0.30209999999999998</v>
      </c>
      <c r="H116" s="48">
        <v>0.38109999999999999</v>
      </c>
      <c r="I116" s="48">
        <v>0.39069999999999999</v>
      </c>
      <c r="J116" s="45"/>
      <c r="K116" s="45"/>
      <c r="L116" s="45"/>
      <c r="M116" s="46"/>
      <c r="N116" s="47"/>
      <c r="O116" s="45"/>
      <c r="P116" s="45"/>
      <c r="Q116" s="42"/>
      <c r="R116" s="42"/>
    </row>
    <row r="117" spans="2:18" x14ac:dyDescent="0.4">
      <c r="B117" s="29">
        <v>20240705</v>
      </c>
      <c r="C117" s="29" t="s">
        <v>34</v>
      </c>
      <c r="D117" s="29" t="s">
        <v>46</v>
      </c>
      <c r="E117" s="30">
        <v>3396127</v>
      </c>
      <c r="F117" s="30">
        <v>884912</v>
      </c>
      <c r="G117" s="48">
        <v>0.2606</v>
      </c>
      <c r="H117" s="48"/>
      <c r="I117" s="48"/>
      <c r="J117" s="45"/>
      <c r="K117" s="45"/>
      <c r="L117" s="45"/>
      <c r="M117" s="46"/>
      <c r="N117" s="47"/>
      <c r="O117" s="45"/>
      <c r="P117" s="45"/>
      <c r="Q117" s="42"/>
      <c r="R117" s="42"/>
    </row>
    <row r="118" spans="2:18" x14ac:dyDescent="0.4">
      <c r="B118" s="29">
        <v>20240705</v>
      </c>
      <c r="C118" s="29" t="s">
        <v>34</v>
      </c>
      <c r="D118" s="29" t="s">
        <v>45</v>
      </c>
      <c r="E118" s="30">
        <v>3396127</v>
      </c>
      <c r="F118" s="30">
        <v>1026109</v>
      </c>
      <c r="G118" s="48">
        <v>0.30209999999999998</v>
      </c>
      <c r="H118" s="48">
        <v>0.38109999999999999</v>
      </c>
      <c r="I118" s="48">
        <v>0.39069999999999999</v>
      </c>
      <c r="J118" s="45"/>
      <c r="K118" s="45"/>
      <c r="L118" s="45"/>
      <c r="M118" s="46"/>
      <c r="N118" s="47"/>
      <c r="O118" s="45"/>
      <c r="P118" s="45"/>
      <c r="Q118" s="42"/>
      <c r="R118" s="42"/>
    </row>
    <row r="119" spans="2:18" x14ac:dyDescent="0.4">
      <c r="B119" s="29">
        <v>20240705</v>
      </c>
      <c r="C119" s="29" t="s">
        <v>34</v>
      </c>
      <c r="D119" s="29" t="s">
        <v>46</v>
      </c>
      <c r="E119" s="30">
        <v>3396127</v>
      </c>
      <c r="F119" s="30">
        <v>884912</v>
      </c>
      <c r="G119" s="48">
        <v>0.2606</v>
      </c>
      <c r="H119" s="48"/>
      <c r="I119" s="48"/>
      <c r="J119" s="45"/>
      <c r="K119" s="45"/>
      <c r="L119" s="45"/>
      <c r="M119" s="46"/>
      <c r="N119" s="47"/>
      <c r="O119" s="45"/>
      <c r="P119" s="45"/>
      <c r="Q119" s="42"/>
      <c r="R119" s="42"/>
    </row>
    <row r="120" spans="2:18" x14ac:dyDescent="0.4">
      <c r="B120" s="29">
        <v>20240704</v>
      </c>
      <c r="C120" s="29" t="s">
        <v>34</v>
      </c>
      <c r="D120" s="29" t="s">
        <v>45</v>
      </c>
      <c r="E120" s="30">
        <v>3370990</v>
      </c>
      <c r="F120" s="30">
        <v>1012022</v>
      </c>
      <c r="G120" s="48">
        <v>0.30020000000000002</v>
      </c>
      <c r="H120" s="48">
        <v>0.38030000000000003</v>
      </c>
      <c r="I120" s="48">
        <v>0.39290000000000003</v>
      </c>
      <c r="J120" s="45"/>
      <c r="K120" s="45"/>
      <c r="L120" s="45"/>
      <c r="M120" s="46"/>
      <c r="N120" s="47"/>
      <c r="O120" s="45"/>
      <c r="P120" s="45"/>
      <c r="Q120" s="42"/>
      <c r="R120" s="42"/>
    </row>
    <row r="121" spans="2:18" x14ac:dyDescent="0.4">
      <c r="B121" s="29">
        <v>20240704</v>
      </c>
      <c r="C121" s="29" t="s">
        <v>34</v>
      </c>
      <c r="D121" s="29" t="s">
        <v>46</v>
      </c>
      <c r="E121" s="30">
        <v>3370990</v>
      </c>
      <c r="F121" s="30">
        <v>877763</v>
      </c>
      <c r="G121" s="48">
        <v>0.26040000000000002</v>
      </c>
      <c r="H121" s="48"/>
      <c r="I121" s="48"/>
      <c r="J121" s="45"/>
      <c r="K121" s="45"/>
      <c r="L121" s="45"/>
      <c r="M121" s="46"/>
      <c r="N121" s="47"/>
      <c r="O121" s="45"/>
      <c r="P121" s="45"/>
      <c r="Q121" s="42"/>
      <c r="R121" s="42"/>
    </row>
    <row r="122" spans="2:18" x14ac:dyDescent="0.4">
      <c r="B122" s="29">
        <v>20240703</v>
      </c>
      <c r="C122" s="29" t="s">
        <v>34</v>
      </c>
      <c r="D122" s="29" t="s">
        <v>45</v>
      </c>
      <c r="E122" s="30">
        <v>3462555</v>
      </c>
      <c r="F122" s="30">
        <v>1037419</v>
      </c>
      <c r="G122" s="48">
        <v>0.29959999999999998</v>
      </c>
      <c r="H122" s="48">
        <v>0.37230000000000002</v>
      </c>
      <c r="I122" s="48">
        <v>0.38350000000000001</v>
      </c>
      <c r="J122" s="45"/>
      <c r="K122" s="45"/>
      <c r="L122" s="45"/>
      <c r="M122" s="46"/>
      <c r="N122" s="47"/>
      <c r="O122" s="45"/>
      <c r="P122" s="45"/>
      <c r="Q122" s="42"/>
      <c r="R122" s="42"/>
    </row>
    <row r="123" spans="2:18" x14ac:dyDescent="0.4">
      <c r="B123" s="29">
        <v>20240703</v>
      </c>
      <c r="C123" s="29" t="s">
        <v>34</v>
      </c>
      <c r="D123" s="29" t="s">
        <v>46</v>
      </c>
      <c r="E123" s="30">
        <v>3462555</v>
      </c>
      <c r="F123" s="30">
        <v>855937</v>
      </c>
      <c r="G123" s="48">
        <v>0.2472</v>
      </c>
      <c r="H123" s="48"/>
      <c r="I123" s="48"/>
      <c r="J123" s="45"/>
      <c r="K123" s="45"/>
      <c r="L123" s="45"/>
      <c r="M123" s="46"/>
      <c r="N123" s="47"/>
      <c r="O123" s="45"/>
      <c r="P123" s="45"/>
      <c r="Q123" s="42"/>
      <c r="R123" s="42"/>
    </row>
    <row r="124" spans="2:18" x14ac:dyDescent="0.4">
      <c r="B124" s="29">
        <v>20240702</v>
      </c>
      <c r="C124" s="29" t="s">
        <v>34</v>
      </c>
      <c r="D124" s="29" t="s">
        <v>45</v>
      </c>
      <c r="E124" s="30">
        <v>3490126</v>
      </c>
      <c r="F124" s="30">
        <v>1093217</v>
      </c>
      <c r="G124" s="48">
        <v>0.31319999999999998</v>
      </c>
      <c r="H124" s="48">
        <v>0.38109999999999999</v>
      </c>
      <c r="I124" s="48">
        <v>0.3911</v>
      </c>
      <c r="J124" s="45"/>
      <c r="K124" s="45"/>
      <c r="L124" s="45"/>
      <c r="M124" s="46"/>
      <c r="N124" s="47"/>
      <c r="O124" s="45"/>
      <c r="P124" s="45"/>
      <c r="Q124" s="42"/>
      <c r="R124" s="42"/>
    </row>
    <row r="125" spans="2:18" x14ac:dyDescent="0.4">
      <c r="B125" s="29">
        <v>20240702</v>
      </c>
      <c r="C125" s="29" t="s">
        <v>34</v>
      </c>
      <c r="D125" s="29" t="s">
        <v>46</v>
      </c>
      <c r="E125" s="30">
        <v>3490126</v>
      </c>
      <c r="F125" s="30">
        <v>852069</v>
      </c>
      <c r="G125" s="48">
        <v>0.24410000000000001</v>
      </c>
      <c r="H125" s="48"/>
      <c r="I125" s="48"/>
      <c r="J125" s="45"/>
      <c r="K125" s="45"/>
      <c r="L125" s="45"/>
      <c r="M125" s="46"/>
      <c r="N125" s="47"/>
      <c r="O125" s="45"/>
      <c r="P125" s="45"/>
      <c r="Q125" s="42"/>
      <c r="R125" s="42"/>
    </row>
    <row r="126" spans="2:18" x14ac:dyDescent="0.4">
      <c r="B126" s="29">
        <v>20240701</v>
      </c>
      <c r="C126" s="29" t="s">
        <v>34</v>
      </c>
      <c r="D126" s="29" t="s">
        <v>45</v>
      </c>
      <c r="E126" s="30">
        <v>3505247</v>
      </c>
      <c r="F126" s="30">
        <v>1100329</v>
      </c>
      <c r="G126" s="48">
        <v>0.31390000000000001</v>
      </c>
      <c r="H126" s="48">
        <v>0.38250000000000001</v>
      </c>
      <c r="I126" s="48">
        <v>0.39229999999999998</v>
      </c>
      <c r="J126" s="45"/>
      <c r="K126" s="45"/>
      <c r="L126" s="45"/>
      <c r="M126" s="46"/>
      <c r="N126" s="47"/>
      <c r="O126" s="45"/>
      <c r="P126" s="45"/>
      <c r="Q126" s="42"/>
      <c r="R126" s="42"/>
    </row>
    <row r="127" spans="2:18" x14ac:dyDescent="0.4">
      <c r="B127" s="29">
        <v>20240701</v>
      </c>
      <c r="C127" s="29" t="s">
        <v>34</v>
      </c>
      <c r="D127" s="29" t="s">
        <v>46</v>
      </c>
      <c r="E127" s="30">
        <v>3505247</v>
      </c>
      <c r="F127" s="30">
        <v>869810</v>
      </c>
      <c r="G127" s="48">
        <v>0.24809999999999999</v>
      </c>
      <c r="H127" s="48"/>
      <c r="I127" s="48"/>
      <c r="J127" s="45"/>
      <c r="K127" s="45"/>
      <c r="L127" s="45"/>
      <c r="M127" s="46"/>
      <c r="N127" s="47"/>
      <c r="O127" s="45"/>
      <c r="P127" s="45"/>
      <c r="Q127" s="42"/>
      <c r="R127" s="42"/>
    </row>
    <row r="128" spans="2:18" x14ac:dyDescent="0.4">
      <c r="B128" s="27"/>
      <c r="C128" s="27"/>
      <c r="D128" s="27"/>
      <c r="E128" s="49"/>
      <c r="F128" s="49"/>
      <c r="G128" s="50"/>
      <c r="H128" s="50"/>
      <c r="I128" s="50"/>
    </row>
    <row r="129" spans="2:9" x14ac:dyDescent="0.4">
      <c r="B129" s="27"/>
      <c r="C129" s="27"/>
      <c r="D129" s="27"/>
      <c r="E129" s="49"/>
      <c r="F129" s="49"/>
      <c r="G129" s="50"/>
      <c r="H129" s="50"/>
      <c r="I129" s="50"/>
    </row>
    <row r="130" spans="2:9" x14ac:dyDescent="0.25">
      <c r="B130" s="20"/>
      <c r="C130" s="20"/>
      <c r="D130" s="20"/>
      <c r="E130" s="20"/>
      <c r="F130" s="20"/>
      <c r="G130" s="44"/>
      <c r="H130" s="35"/>
      <c r="I130" s="51"/>
    </row>
    <row r="131" spans="2:9" x14ac:dyDescent="0.25">
      <c r="B131" s="52" t="s">
        <v>49</v>
      </c>
      <c r="C131" s="52" t="s">
        <v>0</v>
      </c>
      <c r="D131" s="24" t="s">
        <v>40</v>
      </c>
      <c r="E131" s="52" t="s">
        <v>1</v>
      </c>
      <c r="F131" s="52" t="s">
        <v>2</v>
      </c>
      <c r="G131" s="52" t="s">
        <v>3</v>
      </c>
      <c r="H131" s="52" t="s">
        <v>66</v>
      </c>
      <c r="I131" s="53"/>
    </row>
    <row r="132" spans="2:9" ht="17.5" customHeight="1" x14ac:dyDescent="0.4">
      <c r="B132" s="29">
        <v>20240716</v>
      </c>
      <c r="C132" s="29" t="s">
        <v>34</v>
      </c>
      <c r="D132" s="29" t="s">
        <v>47</v>
      </c>
      <c r="E132" s="30">
        <v>2511925</v>
      </c>
      <c r="F132" s="30">
        <v>245889</v>
      </c>
      <c r="G132" s="48">
        <v>9.7900000000000001E-2</v>
      </c>
      <c r="H132" s="30">
        <v>16450275</v>
      </c>
      <c r="I132" s="53"/>
    </row>
    <row r="133" spans="2:9" ht="17.5" customHeight="1" x14ac:dyDescent="0.4">
      <c r="B133" s="29">
        <v>20240716</v>
      </c>
      <c r="C133" s="29" t="s">
        <v>34</v>
      </c>
      <c r="D133" s="29" t="s">
        <v>47</v>
      </c>
      <c r="E133" s="30">
        <v>2511925</v>
      </c>
      <c r="F133" s="30">
        <v>245889</v>
      </c>
      <c r="G133" s="48">
        <v>9.7900000000000001E-2</v>
      </c>
      <c r="H133" s="30">
        <v>16450275</v>
      </c>
      <c r="I133" s="53"/>
    </row>
    <row r="134" spans="2:9" ht="17.5" customHeight="1" x14ac:dyDescent="0.4">
      <c r="B134" s="29">
        <v>20240715</v>
      </c>
      <c r="C134" s="29" t="s">
        <v>34</v>
      </c>
      <c r="D134" s="29" t="s">
        <v>47</v>
      </c>
      <c r="E134" s="30">
        <v>3123151</v>
      </c>
      <c r="F134" s="30">
        <v>284915</v>
      </c>
      <c r="G134" s="48">
        <v>9.1200000000000003E-2</v>
      </c>
      <c r="H134" s="30">
        <v>18406320</v>
      </c>
      <c r="I134" s="53"/>
    </row>
    <row r="135" spans="2:9" ht="17.5" customHeight="1" x14ac:dyDescent="0.4">
      <c r="B135" s="29">
        <v>20240714</v>
      </c>
      <c r="C135" s="29" t="s">
        <v>34</v>
      </c>
      <c r="D135" s="29" t="s">
        <v>47</v>
      </c>
      <c r="E135" s="30">
        <v>2925562</v>
      </c>
      <c r="F135" s="30">
        <v>350790</v>
      </c>
      <c r="G135" s="48">
        <v>0.11990000000000001</v>
      </c>
      <c r="H135" s="30">
        <v>20060862</v>
      </c>
      <c r="I135" s="53"/>
    </row>
    <row r="136" spans="2:9" ht="17.5" customHeight="1" x14ac:dyDescent="0.4">
      <c r="B136" s="29">
        <v>20240713</v>
      </c>
      <c r="C136" s="29" t="s">
        <v>34</v>
      </c>
      <c r="D136" s="29" t="s">
        <v>47</v>
      </c>
      <c r="E136" s="30">
        <v>2823536</v>
      </c>
      <c r="F136" s="30">
        <v>300696</v>
      </c>
      <c r="G136" s="48">
        <v>0.1065</v>
      </c>
      <c r="H136" s="30">
        <v>17078448</v>
      </c>
      <c r="I136" s="53"/>
    </row>
    <row r="137" spans="2:9" ht="17.5" customHeight="1" x14ac:dyDescent="0.4">
      <c r="B137" s="29">
        <v>20240712</v>
      </c>
      <c r="C137" s="29" t="s">
        <v>34</v>
      </c>
      <c r="D137" s="29" t="s">
        <v>47</v>
      </c>
      <c r="E137" s="30">
        <v>2607467</v>
      </c>
      <c r="F137" s="30">
        <v>252696</v>
      </c>
      <c r="G137" s="48">
        <v>9.69E-2</v>
      </c>
      <c r="H137" s="30">
        <v>14457515</v>
      </c>
      <c r="I137" s="53"/>
    </row>
    <row r="138" spans="2:9" ht="17.5" customHeight="1" x14ac:dyDescent="0.4">
      <c r="B138" s="29">
        <v>20240711</v>
      </c>
      <c r="C138" s="29" t="s">
        <v>34</v>
      </c>
      <c r="D138" s="29" t="s">
        <v>47</v>
      </c>
      <c r="E138" s="30">
        <v>2953896</v>
      </c>
      <c r="F138" s="30">
        <v>294643</v>
      </c>
      <c r="G138" s="48">
        <v>9.9699999999999997E-2</v>
      </c>
      <c r="H138" s="30">
        <v>17482957</v>
      </c>
      <c r="I138" s="53"/>
    </row>
    <row r="139" spans="2:9" ht="17.5" customHeight="1" x14ac:dyDescent="0.4">
      <c r="B139" s="29">
        <v>20240710</v>
      </c>
      <c r="C139" s="29" t="s">
        <v>34</v>
      </c>
      <c r="D139" s="29" t="s">
        <v>47</v>
      </c>
      <c r="E139" s="30">
        <v>2620698</v>
      </c>
      <c r="F139" s="30">
        <v>260659</v>
      </c>
      <c r="G139" s="48">
        <v>9.9500000000000005E-2</v>
      </c>
      <c r="H139" s="30">
        <v>15873142</v>
      </c>
      <c r="I139" s="53"/>
    </row>
    <row r="140" spans="2:9" ht="17.5" customHeight="1" x14ac:dyDescent="0.4">
      <c r="B140" s="29">
        <v>20240709</v>
      </c>
      <c r="C140" s="29" t="s">
        <v>34</v>
      </c>
      <c r="D140" s="29" t="s">
        <v>47</v>
      </c>
      <c r="E140" s="30">
        <v>3216801</v>
      </c>
      <c r="F140" s="30">
        <v>286730</v>
      </c>
      <c r="G140" s="48">
        <v>8.9099999999999999E-2</v>
      </c>
      <c r="H140" s="30">
        <v>15267980</v>
      </c>
      <c r="I140" s="53"/>
    </row>
    <row r="141" spans="2:9" ht="17.5" customHeight="1" x14ac:dyDescent="0.4">
      <c r="B141" s="29">
        <v>20240708</v>
      </c>
      <c r="C141" s="29" t="s">
        <v>34</v>
      </c>
      <c r="D141" s="29" t="s">
        <v>47</v>
      </c>
      <c r="E141" s="30">
        <v>3586820</v>
      </c>
      <c r="F141" s="30">
        <v>316584</v>
      </c>
      <c r="G141" s="48">
        <v>8.8300000000000003E-2</v>
      </c>
      <c r="H141" s="30">
        <v>17435193</v>
      </c>
      <c r="I141" s="53"/>
    </row>
    <row r="142" spans="2:9" ht="17.5" customHeight="1" x14ac:dyDescent="0.4">
      <c r="B142" s="29">
        <v>20240707</v>
      </c>
      <c r="C142" s="29" t="s">
        <v>34</v>
      </c>
      <c r="D142" s="29" t="s">
        <v>47</v>
      </c>
      <c r="E142" s="30">
        <v>3673665</v>
      </c>
      <c r="F142" s="30">
        <v>366229</v>
      </c>
      <c r="G142" s="48">
        <v>9.9699999999999997E-2</v>
      </c>
      <c r="H142" s="30">
        <v>21246024</v>
      </c>
      <c r="I142" s="53"/>
    </row>
    <row r="143" spans="2:9" ht="17.5" customHeight="1" x14ac:dyDescent="0.4">
      <c r="B143" s="29">
        <v>20240706</v>
      </c>
      <c r="C143" s="29" t="s">
        <v>34</v>
      </c>
      <c r="D143" s="29" t="s">
        <v>47</v>
      </c>
      <c r="E143" s="30">
        <v>3662070</v>
      </c>
      <c r="F143" s="30">
        <v>348698</v>
      </c>
      <c r="G143" s="48">
        <v>9.5200000000000007E-2</v>
      </c>
      <c r="H143" s="30">
        <v>20932094</v>
      </c>
      <c r="I143" s="53"/>
    </row>
    <row r="144" spans="2:9" ht="17.5" customHeight="1" x14ac:dyDescent="0.4">
      <c r="B144" s="29">
        <v>20240705</v>
      </c>
      <c r="C144" s="29" t="s">
        <v>34</v>
      </c>
      <c r="D144" s="29" t="s">
        <v>47</v>
      </c>
      <c r="E144" s="30">
        <v>2843550</v>
      </c>
      <c r="F144" s="30">
        <v>282116</v>
      </c>
      <c r="G144" s="48">
        <v>9.9199999999999997E-2</v>
      </c>
      <c r="H144" s="30">
        <v>18082497</v>
      </c>
      <c r="I144" s="53"/>
    </row>
    <row r="145" spans="2:9" ht="17.5" customHeight="1" x14ac:dyDescent="0.4">
      <c r="B145" s="29">
        <v>20240705</v>
      </c>
      <c r="C145" s="29" t="s">
        <v>34</v>
      </c>
      <c r="D145" s="29" t="s">
        <v>47</v>
      </c>
      <c r="E145" s="30">
        <v>2843550</v>
      </c>
      <c r="F145" s="30">
        <v>282116</v>
      </c>
      <c r="G145" s="48">
        <v>9.9199999999999997E-2</v>
      </c>
      <c r="H145" s="30">
        <v>18082497</v>
      </c>
      <c r="I145" s="53"/>
    </row>
    <row r="146" spans="2:9" ht="17.5" customHeight="1" x14ac:dyDescent="0.4">
      <c r="B146" s="29">
        <v>20240704</v>
      </c>
      <c r="C146" s="29" t="s">
        <v>34</v>
      </c>
      <c r="D146" s="29" t="s">
        <v>47</v>
      </c>
      <c r="E146" s="30">
        <v>2755446</v>
      </c>
      <c r="F146" s="30">
        <v>250765</v>
      </c>
      <c r="G146" s="48">
        <v>9.0999999999999998E-2</v>
      </c>
      <c r="H146" s="30">
        <v>14078877</v>
      </c>
      <c r="I146" s="53"/>
    </row>
    <row r="147" spans="2:9" ht="17.5" customHeight="1" x14ac:dyDescent="0.4">
      <c r="B147" s="29">
        <v>20240703</v>
      </c>
      <c r="C147" s="29" t="s">
        <v>34</v>
      </c>
      <c r="D147" s="29" t="s">
        <v>47</v>
      </c>
      <c r="E147" s="30">
        <v>2480246</v>
      </c>
      <c r="F147" s="30">
        <v>252666</v>
      </c>
      <c r="G147" s="48">
        <v>0.1019</v>
      </c>
      <c r="H147" s="30">
        <v>15638816</v>
      </c>
      <c r="I147" s="53"/>
    </row>
    <row r="148" spans="2:9" ht="17.5" customHeight="1" x14ac:dyDescent="0.4">
      <c r="B148" s="29">
        <v>20240702</v>
      </c>
      <c r="C148" s="29" t="s">
        <v>34</v>
      </c>
      <c r="D148" s="29" t="s">
        <v>47</v>
      </c>
      <c r="E148" s="30">
        <v>2312389</v>
      </c>
      <c r="F148" s="30">
        <v>233318</v>
      </c>
      <c r="G148" s="48">
        <v>0.1009</v>
      </c>
      <c r="H148" s="30">
        <v>15707648</v>
      </c>
      <c r="I148" s="53"/>
    </row>
    <row r="149" spans="2:9" ht="17.5" customHeight="1" x14ac:dyDescent="0.4">
      <c r="B149" s="29">
        <v>20240701</v>
      </c>
      <c r="C149" s="29" t="s">
        <v>34</v>
      </c>
      <c r="D149" s="29" t="s">
        <v>47</v>
      </c>
      <c r="E149" s="30">
        <v>3152892</v>
      </c>
      <c r="F149" s="30">
        <v>351521</v>
      </c>
      <c r="G149" s="48">
        <v>0.1115</v>
      </c>
      <c r="H149" s="30">
        <v>22470674</v>
      </c>
      <c r="I149" s="53"/>
    </row>
  </sheetData>
  <phoneticPr fontId="10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V35"/>
  <sheetViews>
    <sheetView showGridLines="0" zoomScale="40" zoomScaleNormal="40" workbookViewId="0">
      <selection activeCell="F18" sqref="F18"/>
    </sheetView>
  </sheetViews>
  <sheetFormatPr defaultColWidth="9" defaultRowHeight="16.5" x14ac:dyDescent="0.25"/>
  <cols>
    <col min="1" max="1" width="4" style="1" customWidth="1"/>
    <col min="2" max="2" width="19.7265625" style="1" customWidth="1"/>
    <col min="3" max="3" width="16" style="1" customWidth="1"/>
    <col min="4" max="4" width="29.6328125" style="1" customWidth="1"/>
    <col min="5" max="5" width="27.453125" style="1" customWidth="1"/>
    <col min="6" max="6" width="19.6328125" style="1" customWidth="1"/>
    <col min="7" max="7" width="13.08984375" style="1" customWidth="1"/>
    <col min="8" max="8" width="14.7265625" style="1" bestFit="1" customWidth="1"/>
    <col min="9" max="9" width="12.08984375" style="1" bestFit="1" customWidth="1"/>
    <col min="10" max="10" width="14.7265625" style="1" bestFit="1" customWidth="1"/>
    <col min="11" max="13" width="9" style="1"/>
    <col min="14" max="14" width="10.453125" style="1" customWidth="1"/>
    <col min="15" max="16" width="9" style="1"/>
    <col min="17" max="17" width="5.453125" style="1" bestFit="1" customWidth="1"/>
    <col min="18" max="18" width="18" style="1" bestFit="1" customWidth="1"/>
    <col min="19" max="19" width="14.7265625" style="1" bestFit="1" customWidth="1"/>
    <col min="20" max="21" width="15" style="15" customWidth="1"/>
    <col min="22" max="22" width="41.08984375" style="15" customWidth="1"/>
    <col min="23" max="16384" width="9" style="1"/>
  </cols>
  <sheetData>
    <row r="1" spans="2:22" x14ac:dyDescent="0.25">
      <c r="Q1" s="1" t="s">
        <v>19</v>
      </c>
      <c r="R1" s="54" t="s">
        <v>51</v>
      </c>
      <c r="S1" s="54" t="s">
        <v>16</v>
      </c>
      <c r="T1" s="1"/>
      <c r="U1" s="1"/>
      <c r="V1" s="1"/>
    </row>
    <row r="2" spans="2:22" x14ac:dyDescent="0.25">
      <c r="B2" s="2">
        <v>45490</v>
      </c>
      <c r="C2" s="3" t="s">
        <v>7</v>
      </c>
      <c r="D2" s="3" t="s">
        <v>4</v>
      </c>
      <c r="E2" s="3" t="s">
        <v>8</v>
      </c>
      <c r="F2" s="3" t="s">
        <v>9</v>
      </c>
      <c r="G2" s="3" t="s">
        <v>20</v>
      </c>
      <c r="H2" s="4"/>
      <c r="I2" s="4"/>
      <c r="J2" s="4"/>
      <c r="K2" s="4"/>
      <c r="Q2" s="5" t="s">
        <v>10</v>
      </c>
      <c r="R2" s="6">
        <v>101773075</v>
      </c>
      <c r="S2" s="6">
        <v>3757256</v>
      </c>
      <c r="T2" s="1"/>
      <c r="U2" s="1"/>
      <c r="V2" s="1"/>
    </row>
    <row r="3" spans="2:22" x14ac:dyDescent="0.25">
      <c r="B3" s="7" t="s">
        <v>57</v>
      </c>
      <c r="C3" s="7" t="s">
        <v>68</v>
      </c>
      <c r="D3" s="8">
        <v>56801968</v>
      </c>
      <c r="E3" s="8">
        <v>1355471866</v>
      </c>
      <c r="F3" s="9" t="s">
        <v>81</v>
      </c>
      <c r="G3" s="10">
        <v>26</v>
      </c>
      <c r="I3" s="11"/>
      <c r="J3" s="11"/>
      <c r="Q3" s="5" t="s">
        <v>13</v>
      </c>
      <c r="R3" s="6">
        <v>8274521</v>
      </c>
      <c r="S3" s="6">
        <v>347743</v>
      </c>
      <c r="T3" s="1"/>
      <c r="U3" s="1"/>
      <c r="V3" s="1"/>
    </row>
    <row r="4" spans="2:22" x14ac:dyDescent="0.25">
      <c r="B4" s="7" t="s">
        <v>26</v>
      </c>
      <c r="C4" s="7" t="s">
        <v>67</v>
      </c>
      <c r="D4" s="8">
        <v>65047587</v>
      </c>
      <c r="E4" s="8">
        <v>1256338145</v>
      </c>
      <c r="F4" s="9" t="s">
        <v>82</v>
      </c>
      <c r="G4" s="10">
        <v>34</v>
      </c>
      <c r="I4" s="11"/>
      <c r="J4" s="11"/>
      <c r="Q4" s="5" t="s">
        <v>14</v>
      </c>
      <c r="R4" s="6">
        <v>146089</v>
      </c>
      <c r="S4" s="6">
        <v>15570</v>
      </c>
      <c r="T4" s="1"/>
      <c r="U4" s="1"/>
      <c r="V4" s="1"/>
    </row>
    <row r="5" spans="2:22" x14ac:dyDescent="0.25">
      <c r="B5" s="7" t="s">
        <v>48</v>
      </c>
      <c r="C5" s="7" t="s">
        <v>78</v>
      </c>
      <c r="D5" s="8">
        <v>37969423</v>
      </c>
      <c r="E5" s="8">
        <v>904974636</v>
      </c>
      <c r="F5" s="9" t="s">
        <v>83</v>
      </c>
      <c r="G5" s="10">
        <v>33</v>
      </c>
      <c r="I5" s="11"/>
      <c r="J5" s="11"/>
      <c r="Q5" s="6"/>
      <c r="R5" s="6"/>
      <c r="S5" s="6"/>
      <c r="T5" s="1"/>
      <c r="U5" s="1"/>
      <c r="V5" s="1"/>
    </row>
    <row r="6" spans="2:22" x14ac:dyDescent="0.25">
      <c r="B6" s="7" t="s">
        <v>48</v>
      </c>
      <c r="C6" s="7" t="s">
        <v>73</v>
      </c>
      <c r="D6" s="8">
        <v>37163331</v>
      </c>
      <c r="E6" s="8">
        <v>1081041888</v>
      </c>
      <c r="F6" s="9" t="s">
        <v>84</v>
      </c>
      <c r="G6" s="10">
        <v>33</v>
      </c>
      <c r="I6" s="11"/>
      <c r="J6" s="11"/>
      <c r="Q6" s="6"/>
      <c r="R6" s="6"/>
      <c r="S6" s="6"/>
      <c r="T6" s="1"/>
      <c r="U6" s="1"/>
      <c r="V6" s="1"/>
    </row>
    <row r="7" spans="2:22" x14ac:dyDescent="0.25">
      <c r="B7" s="7" t="s">
        <v>58</v>
      </c>
      <c r="C7" s="7" t="s">
        <v>75</v>
      </c>
      <c r="D7" s="8">
        <v>44960415</v>
      </c>
      <c r="E7" s="8">
        <v>948729029</v>
      </c>
      <c r="F7" s="9" t="s">
        <v>85</v>
      </c>
      <c r="G7" s="10">
        <v>42</v>
      </c>
      <c r="I7" s="11"/>
      <c r="J7" s="11"/>
      <c r="Q7" s="6"/>
      <c r="R7" s="6"/>
      <c r="S7" s="6"/>
      <c r="T7" s="1"/>
      <c r="U7" s="1"/>
      <c r="V7" s="1"/>
    </row>
    <row r="8" spans="2:22" x14ac:dyDescent="0.25">
      <c r="B8" s="7" t="s">
        <v>58</v>
      </c>
      <c r="C8" s="7" t="s">
        <v>71</v>
      </c>
      <c r="D8" s="8">
        <v>13305668</v>
      </c>
      <c r="E8" s="8">
        <v>334256198</v>
      </c>
      <c r="F8" s="9" t="s">
        <v>86</v>
      </c>
      <c r="G8" s="10">
        <v>30</v>
      </c>
      <c r="I8" s="11"/>
      <c r="J8" s="11"/>
      <c r="Q8" s="6"/>
      <c r="R8" s="6"/>
      <c r="S8" s="6"/>
      <c r="T8" s="1"/>
      <c r="U8" s="1"/>
      <c r="V8" s="1"/>
    </row>
    <row r="9" spans="2:22" x14ac:dyDescent="0.25">
      <c r="B9" s="7"/>
      <c r="C9" s="7" t="s">
        <v>70</v>
      </c>
      <c r="D9" s="8">
        <v>21936062</v>
      </c>
      <c r="E9" s="8">
        <v>486820407</v>
      </c>
      <c r="F9" s="9" t="s">
        <v>87</v>
      </c>
      <c r="G9" s="10"/>
      <c r="I9" s="11"/>
      <c r="J9" s="11"/>
      <c r="Q9" s="6"/>
      <c r="R9" s="6"/>
      <c r="S9" s="6"/>
      <c r="T9" s="1"/>
      <c r="U9" s="1"/>
      <c r="V9" s="1"/>
    </row>
    <row r="10" spans="2:22" x14ac:dyDescent="0.25">
      <c r="B10" s="7"/>
      <c r="C10" s="7" t="s">
        <v>69</v>
      </c>
      <c r="D10" s="8">
        <v>12706133</v>
      </c>
      <c r="E10" s="8">
        <v>132966735</v>
      </c>
      <c r="F10" s="9" t="s">
        <v>88</v>
      </c>
      <c r="G10" s="10">
        <v>109</v>
      </c>
      <c r="I10" s="11"/>
      <c r="J10" s="11"/>
      <c r="Q10" s="6"/>
      <c r="R10" s="6"/>
      <c r="S10" s="6"/>
      <c r="T10" s="1"/>
      <c r="U10" s="1"/>
      <c r="V10" s="1"/>
    </row>
    <row r="11" spans="2:22" x14ac:dyDescent="0.25">
      <c r="B11" s="7"/>
      <c r="C11" s="7" t="s">
        <v>72</v>
      </c>
      <c r="D11" s="8">
        <v>8860170</v>
      </c>
      <c r="E11" s="8">
        <v>79038334</v>
      </c>
      <c r="F11" s="9" t="s">
        <v>89</v>
      </c>
      <c r="G11" s="10">
        <v>101</v>
      </c>
      <c r="I11" s="11"/>
      <c r="J11" s="11"/>
      <c r="Q11" s="6"/>
      <c r="R11" s="6"/>
      <c r="S11" s="6"/>
      <c r="T11" s="1"/>
      <c r="U11" s="1"/>
      <c r="V11" s="1"/>
    </row>
    <row r="12" spans="2:22" x14ac:dyDescent="0.25">
      <c r="B12" s="7"/>
      <c r="C12" s="7" t="s">
        <v>79</v>
      </c>
      <c r="D12" s="8">
        <v>7165897</v>
      </c>
      <c r="E12" s="8">
        <v>70215706</v>
      </c>
      <c r="F12" s="9" t="s">
        <v>90</v>
      </c>
      <c r="G12" s="10">
        <v>104</v>
      </c>
      <c r="I12" s="11"/>
      <c r="J12" s="11"/>
      <c r="Q12" s="6"/>
      <c r="R12" s="6"/>
      <c r="S12" s="6"/>
      <c r="T12" s="1"/>
      <c r="U12" s="1"/>
      <c r="V12" s="1"/>
    </row>
    <row r="13" spans="2:22" x14ac:dyDescent="0.25">
      <c r="B13" s="7"/>
      <c r="C13" s="7" t="s">
        <v>76</v>
      </c>
      <c r="D13" s="8">
        <v>6015829</v>
      </c>
      <c r="E13" s="8">
        <v>90728857</v>
      </c>
      <c r="F13" s="9" t="s">
        <v>91</v>
      </c>
      <c r="G13" s="10">
        <v>3</v>
      </c>
      <c r="I13" s="11"/>
      <c r="J13" s="11"/>
      <c r="Q13" s="6"/>
      <c r="R13" s="6"/>
      <c r="S13" s="6"/>
      <c r="T13" s="1"/>
      <c r="U13" s="1"/>
      <c r="V13" s="1"/>
    </row>
    <row r="14" spans="2:22" x14ac:dyDescent="0.25">
      <c r="B14" s="7"/>
      <c r="C14" s="7" t="s">
        <v>77</v>
      </c>
      <c r="D14" s="8">
        <v>911510</v>
      </c>
      <c r="E14" s="8">
        <v>7639161</v>
      </c>
      <c r="F14" s="9" t="s">
        <v>92</v>
      </c>
      <c r="G14" s="10">
        <v>30</v>
      </c>
      <c r="I14" s="11"/>
      <c r="J14" s="11"/>
      <c r="Q14" s="6"/>
      <c r="R14" s="6"/>
      <c r="S14" s="6"/>
      <c r="T14" s="1"/>
      <c r="U14" s="1"/>
      <c r="V14" s="1"/>
    </row>
    <row r="15" spans="2:22" x14ac:dyDescent="0.25">
      <c r="B15" s="7"/>
      <c r="C15" s="7" t="s">
        <v>74</v>
      </c>
      <c r="D15" s="8">
        <v>479110</v>
      </c>
      <c r="E15" s="8">
        <v>2479920</v>
      </c>
      <c r="F15" s="9" t="s">
        <v>93</v>
      </c>
      <c r="G15" s="10">
        <v>6</v>
      </c>
      <c r="I15" s="11"/>
      <c r="J15" s="11"/>
      <c r="Q15" s="6"/>
      <c r="R15" s="6"/>
      <c r="S15" s="6"/>
      <c r="T15" s="1"/>
      <c r="U15" s="1"/>
      <c r="V15" s="1"/>
    </row>
    <row r="16" spans="2:22" x14ac:dyDescent="0.25">
      <c r="B16" s="7"/>
      <c r="C16" s="7" t="s">
        <v>80</v>
      </c>
      <c r="D16" s="8">
        <v>0</v>
      </c>
      <c r="E16" s="8">
        <v>0</v>
      </c>
      <c r="F16" s="9" t="s">
        <v>94</v>
      </c>
      <c r="G16" s="10">
        <v>1</v>
      </c>
      <c r="I16" s="11"/>
      <c r="J16" s="11"/>
      <c r="Q16" s="6"/>
      <c r="R16" s="6"/>
      <c r="S16" s="6"/>
      <c r="T16" s="1"/>
      <c r="U16" s="1"/>
      <c r="V16" s="1"/>
    </row>
    <row r="17" spans="2:22" x14ac:dyDescent="0.25">
      <c r="I17" s="11"/>
      <c r="J17" s="11"/>
      <c r="Q17" s="6"/>
      <c r="R17" s="6"/>
      <c r="S17" s="6"/>
      <c r="T17" s="1"/>
      <c r="U17" s="1"/>
      <c r="V17" s="1"/>
    </row>
    <row r="18" spans="2:22" x14ac:dyDescent="0.25">
      <c r="B18" s="12" t="s">
        <v>12</v>
      </c>
      <c r="C18" s="12" t="s">
        <v>15</v>
      </c>
      <c r="E18" s="13"/>
      <c r="F18" s="14"/>
      <c r="U18" s="1"/>
      <c r="V18" s="1"/>
    </row>
    <row r="19" spans="2:22" x14ac:dyDescent="0.4">
      <c r="B19" s="12">
        <v>65</v>
      </c>
      <c r="C19" s="16">
        <v>42</v>
      </c>
    </row>
    <row r="20" spans="2:22" x14ac:dyDescent="0.4">
      <c r="B20" s="12">
        <v>69</v>
      </c>
      <c r="C20" s="16">
        <v>12</v>
      </c>
    </row>
    <row r="21" spans="2:22" x14ac:dyDescent="0.4">
      <c r="B21" s="12">
        <v>70</v>
      </c>
      <c r="C21" s="16">
        <v>60</v>
      </c>
    </row>
    <row r="22" spans="2:22" x14ac:dyDescent="0.4">
      <c r="B22" s="12">
        <v>80</v>
      </c>
      <c r="C22" s="16">
        <v>139</v>
      </c>
    </row>
    <row r="23" spans="2:22" x14ac:dyDescent="0.4">
      <c r="B23" s="12">
        <v>100</v>
      </c>
      <c r="C23" s="16">
        <v>43</v>
      </c>
    </row>
    <row r="24" spans="2:22" ht="20.25" customHeight="1" x14ac:dyDescent="0.25"/>
    <row r="25" spans="2:22" x14ac:dyDescent="0.25">
      <c r="B25" s="54" t="s">
        <v>19</v>
      </c>
      <c r="C25" s="55" t="s">
        <v>52</v>
      </c>
      <c r="D25" s="55"/>
      <c r="E25" s="55" t="s">
        <v>18</v>
      </c>
      <c r="F25" s="55"/>
    </row>
    <row r="26" spans="2:22" x14ac:dyDescent="0.25">
      <c r="B26" s="54"/>
      <c r="C26" s="54" t="s">
        <v>17</v>
      </c>
      <c r="D26" s="54" t="s">
        <v>53</v>
      </c>
      <c r="E26" s="54" t="s">
        <v>54</v>
      </c>
      <c r="F26" s="54" t="s">
        <v>16</v>
      </c>
    </row>
    <row r="27" spans="2:22" x14ac:dyDescent="0.25">
      <c r="B27" s="5" t="s">
        <v>14</v>
      </c>
      <c r="C27" s="6">
        <f>R4</f>
        <v>146089</v>
      </c>
      <c r="D27" s="6">
        <f>S4</f>
        <v>15570</v>
      </c>
      <c r="E27" s="17">
        <f>C27/SUM(C$27:C$29)</f>
        <v>1.3257474781789901E-3</v>
      </c>
      <c r="F27" s="17">
        <f>D27/SUM(D$27:D$29)</f>
        <v>3.7786043626499154E-3</v>
      </c>
    </row>
    <row r="28" spans="2:22" x14ac:dyDescent="0.25">
      <c r="B28" s="5" t="s">
        <v>10</v>
      </c>
      <c r="C28" s="6">
        <f>R2</f>
        <v>101773075</v>
      </c>
      <c r="D28" s="6">
        <f>S2</f>
        <v>3757256</v>
      </c>
      <c r="E28" s="17">
        <f>C28/SUM(C$27:C$29)</f>
        <v>0.92358355199755771</v>
      </c>
      <c r="F28" s="17">
        <f>D28/SUM(D$27:D$29)</f>
        <v>0.9118294099674098</v>
      </c>
    </row>
    <row r="29" spans="2:22" x14ac:dyDescent="0.25">
      <c r="B29" s="5" t="s">
        <v>13</v>
      </c>
      <c r="C29" s="6">
        <f>R3</f>
        <v>8274521</v>
      </c>
      <c r="D29" s="6">
        <f>S3</f>
        <v>347743</v>
      </c>
      <c r="E29" s="17">
        <f>C29/SUM(C$27:C$29)</f>
        <v>7.5090700524263254E-2</v>
      </c>
      <c r="F29" s="17">
        <f t="shared" ref="F29" si="0">D29/SUM(D$27:D$29)</f>
        <v>8.4391985669940245E-2</v>
      </c>
    </row>
    <row r="31" spans="2:22" x14ac:dyDescent="0.25">
      <c r="B31" s="2" t="s">
        <v>21</v>
      </c>
      <c r="C31" s="3" t="s">
        <v>7</v>
      </c>
      <c r="D31" s="3" t="s">
        <v>55</v>
      </c>
      <c r="E31" s="3" t="s">
        <v>56</v>
      </c>
      <c r="F31" s="3" t="s">
        <v>22</v>
      </c>
      <c r="G31" s="3" t="s">
        <v>20</v>
      </c>
      <c r="H31" s="3" t="s">
        <v>23</v>
      </c>
      <c r="I31" s="3" t="s">
        <v>24</v>
      </c>
      <c r="J31" s="3" t="s">
        <v>25</v>
      </c>
    </row>
    <row r="32" spans="2:22" x14ac:dyDescent="0.25">
      <c r="B32" s="7" t="s">
        <v>48</v>
      </c>
      <c r="C32" s="7" t="s">
        <v>73</v>
      </c>
      <c r="D32" s="18">
        <v>0.17957992987375901</v>
      </c>
      <c r="E32" s="8">
        <v>34878527</v>
      </c>
      <c r="F32" s="9">
        <v>0.7056714136551776</v>
      </c>
      <c r="G32" s="10">
        <v>31</v>
      </c>
      <c r="H32" s="19">
        <v>6.29398232017509E-2</v>
      </c>
      <c r="I32" s="10">
        <v>64101</v>
      </c>
      <c r="J32" s="19">
        <v>6.33843465780565E-2</v>
      </c>
    </row>
    <row r="33" spans="2:10" x14ac:dyDescent="0.25">
      <c r="B33" s="7" t="s">
        <v>48</v>
      </c>
      <c r="C33" s="7" t="s">
        <v>78</v>
      </c>
      <c r="D33" s="18">
        <v>0.16337565105761651</v>
      </c>
      <c r="E33" s="8">
        <v>30067039</v>
      </c>
      <c r="F33" s="9">
        <v>0.83911962225020376</v>
      </c>
      <c r="G33" s="10">
        <v>31</v>
      </c>
      <c r="H33" s="19">
        <v>2.9041783648797191E-2</v>
      </c>
      <c r="I33" s="10">
        <v>35563</v>
      </c>
      <c r="J33" s="19">
        <v>6.4814554452661474E-2</v>
      </c>
    </row>
    <row r="34" spans="2:10" x14ac:dyDescent="0.25">
      <c r="B34" s="7" t="s">
        <v>58</v>
      </c>
      <c r="C34" s="7" t="s">
        <v>71</v>
      </c>
      <c r="D34" s="18">
        <v>0.1233967517401392</v>
      </c>
      <c r="E34" s="8">
        <v>7647376</v>
      </c>
      <c r="F34" s="9">
        <v>0.70099108857135806</v>
      </c>
      <c r="G34" s="10">
        <v>30</v>
      </c>
      <c r="H34" s="19">
        <v>6.0068058778035567E-2</v>
      </c>
      <c r="I34" s="10">
        <v>19417</v>
      </c>
      <c r="J34" s="19">
        <v>6.8599680692176965E-2</v>
      </c>
    </row>
    <row r="35" spans="2:10" x14ac:dyDescent="0.25">
      <c r="B35" s="7" t="s">
        <v>58</v>
      </c>
      <c r="C35" s="7" t="s">
        <v>75</v>
      </c>
      <c r="D35" s="18">
        <v>0.16835724262036461</v>
      </c>
      <c r="E35" s="8">
        <v>33925816</v>
      </c>
      <c r="F35" s="9">
        <v>0.79073130973200367</v>
      </c>
      <c r="G35" s="10">
        <v>38</v>
      </c>
      <c r="H35" s="19">
        <v>1.54865602226977E-2</v>
      </c>
      <c r="I35" s="10">
        <v>19260</v>
      </c>
      <c r="J35" s="19">
        <v>6.895119418483904E-2</v>
      </c>
    </row>
  </sheetData>
  <mergeCells count="2">
    <mergeCell ref="C25:D25"/>
    <mergeCell ref="E25:F25"/>
  </mergeCells>
  <phoneticPr fontId="116" type="noConversion"/>
  <conditionalFormatting sqref="D3:D16">
    <cfRule type="dataBar" priority="8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{BD5650A9-8732-4152-B72E-F8817ED9F85A}</x14:id>
        </ext>
      </extLst>
    </cfRule>
  </conditionalFormatting>
  <conditionalFormatting sqref="D31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{03BFEB1D-C58B-42F2-BDF0-ED1E64D60B2B}</x14:id>
        </ext>
      </extLst>
    </cfRule>
  </conditionalFormatting>
  <conditionalFormatting sqref="D32:D35">
    <cfRule type="dataBar" priority="8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{494DB22D-53F9-4607-9D4C-CDCEADF4D3D1}</x14:id>
        </ext>
      </extLst>
    </cfRule>
  </conditionalFormatting>
  <conditionalFormatting sqref="E3:E16">
    <cfRule type="dataBar" priority="8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{1DFFF79C-8E75-4FE3-98D7-11A987B90A50}</x14:id>
        </ext>
      </extLst>
    </cfRule>
  </conditionalFormatting>
  <conditionalFormatting sqref="E31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{141C2990-5374-49BC-9A2E-8A7D829C7163}</x14:id>
        </ext>
      </extLst>
    </cfRule>
  </conditionalFormatting>
  <conditionalFormatting sqref="E32:E35">
    <cfRule type="dataBar" priority="8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{8133DB1B-0C4A-4379-9679-B52E61077F8C}</x14:id>
        </ext>
      </extLst>
    </cfRule>
  </conditionalFormatting>
  <conditionalFormatting sqref="F32:F35">
    <cfRule type="dataBar" priority="89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{69BAD9C6-4C4B-4ABB-A060-603F8614DA90}</x14:id>
        </ext>
      </extLst>
    </cfRule>
  </conditionalFormatting>
  <conditionalFormatting sqref="H32:H35">
    <cfRule type="cellIs" dxfId="0" priority="100" operator="greaterThan">
      <formula>0.05</formula>
    </cfRule>
  </conditionalFormatting>
  <pageMargins left="0.7" right="0.7" top="0.75" bottom="0.75" header="0.3" footer="0.3"/>
  <pageSetup paperSize="9" orientation="portrait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5650A9-8732-4152-B72E-F8817ED9F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D3:D16</xm:sqref>
        </x14:conditionalFormatting>
        <x14:conditionalFormatting xmlns:xm="http://schemas.microsoft.com/office/excel/2006/main">
          <x14:cfRule type="dataBar" id="{03BFEB1D-C58B-42F2-BDF0-ED1E64D60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D31</xm:sqref>
        </x14:conditionalFormatting>
        <x14:conditionalFormatting xmlns:xm="http://schemas.microsoft.com/office/excel/2006/main">
          <x14:cfRule type="dataBar" id="{494DB22D-53F9-4607-9D4C-CDCEADF4D3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D32:D35</xm:sqref>
        </x14:conditionalFormatting>
        <x14:conditionalFormatting xmlns:xm="http://schemas.microsoft.com/office/excel/2006/main">
          <x14:cfRule type="dataBar" id="{1DFFF79C-8E75-4FE3-98D7-11A987B90A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E3:E16</xm:sqref>
        </x14:conditionalFormatting>
        <x14:conditionalFormatting xmlns:xm="http://schemas.microsoft.com/office/excel/2006/main">
          <x14:cfRule type="dataBar" id="{141C2990-5374-49BC-9A2E-8A7D829C71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E31</xm:sqref>
        </x14:conditionalFormatting>
        <x14:conditionalFormatting xmlns:xm="http://schemas.microsoft.com/office/excel/2006/main">
          <x14:cfRule type="dataBar" id="{8133DB1B-0C4A-4379-9679-B52E61077F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E32:E35</xm:sqref>
        </x14:conditionalFormatting>
        <x14:conditionalFormatting xmlns:xm="http://schemas.microsoft.com/office/excel/2006/main">
          <x14:cfRule type="dataBar" id="{69BAD9C6-4C4B-4ABB-A060-603F8614DA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F32:F35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各池子数据</vt:lpstr>
      <vt:lpstr>编辑贡献时长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郝胜美</dc:creator>
  <cp:lastModifiedBy>小白 吴</cp:lastModifiedBy>
  <dcterms:created xsi:type="dcterms:W3CDTF">2020-07-24T01:12:00Z</dcterms:created>
  <dcterms:modified xsi:type="dcterms:W3CDTF">2024-07-17T14:04:03Z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  <property fmtid="{D5CDD505-2E9C-101B-9397-08002B2CF9AE}" pid="3" name="WorkbookGuid">
    <vt:lpwstr>cafff903-e0b1-4f21-84e9-276acf672156</vt:lpwstr>
  </property>
</Properties>
</file>