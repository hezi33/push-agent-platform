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1689\Documents\我的POPO\2024.07.17\push日报-24.07.17\"/>
    </mc:Choice>
  </mc:AlternateContent>
  <xr:revisionPtr revIDLastSave="0" documentId="13_ncr:1_{1B4F59E4-FC0B-44FC-98CD-2FA806BFDC48}" xr6:coauthVersionLast="47" xr6:coauthVersionMax="47" xr10:uidLastSave="{00000000-0000-0000-0000-000000000000}"/>
  <bookViews>
    <workbookView xWindow="-110" yWindow="-110" windowWidth="19420" windowHeight="10560" tabRatio="875" activeTab="3" xr2:uid="{00000000-000D-0000-FFFF-FFFF00000000}"/>
  </bookViews>
  <sheets>
    <sheet name="PUSH日报" sheetId="534" r:id="rId1"/>
    <sheet name="全量PUSH " sheetId="535" r:id="rId2"/>
    <sheet name="个性化PUSH" sheetId="536" r:id="rId3"/>
    <sheet name="编辑贡献打开率" sheetId="537" r:id="rId4"/>
    <sheet name="源-编辑点击率" sheetId="538" state="hidden" r:id="rId5"/>
    <sheet name="区域编辑点击率" sheetId="532" state="hidden" r:id="rId6"/>
    <sheet name="个性化监测条件" sheetId="496" state="hidden" r:id="rId7"/>
  </sheets>
  <definedNames>
    <definedName name="_xlnm._FilterDatabase" localSheetId="0" hidden="1">PUSH日报!#REF!</definedName>
    <definedName name="_xlnm._FilterDatabase" localSheetId="3" hidden="1">编辑贡献打开率!$A$12:$E$43</definedName>
    <definedName name="_xlnm._FilterDatabase" localSheetId="2" hidden="1">个性化PUSH!$A$6:$U$6</definedName>
    <definedName name="_xlnm._FilterDatabase" localSheetId="1" hidden="1">'全量PUSH '!$A$6:$V$6</definedName>
    <definedName name="_xlnm._FilterDatabase" localSheetId="4" hidden="1">'源-编辑点击率'!$A$1:$V$422</definedName>
  </definedNames>
  <calcPr calcId="191029"/>
</workbook>
</file>

<file path=xl/calcChain.xml><?xml version="1.0" encoding="utf-8"?>
<calcChain xmlns="http://schemas.openxmlformats.org/spreadsheetml/2006/main">
  <c r="U8" i="536" l="1"/>
  <c r="U9" i="536"/>
  <c r="U7" i="536" l="1"/>
  <c r="D3" i="536" l="1"/>
  <c r="H3" i="536" s="1"/>
  <c r="E4" i="536"/>
  <c r="I4" i="536" s="1"/>
  <c r="D4" i="536"/>
  <c r="H4" i="536" s="1"/>
  <c r="C4" i="536"/>
  <c r="B4" i="536"/>
  <c r="E3" i="536"/>
  <c r="I3" i="536" s="1"/>
  <c r="C3" i="536"/>
  <c r="B3" i="536"/>
  <c r="G3" i="536" l="1"/>
  <c r="J3" i="536" s="1"/>
  <c r="G4" i="536"/>
  <c r="J4" i="536" s="1"/>
  <c r="F4" i="536"/>
  <c r="F3" i="536"/>
  <c r="V384" i="538" l="1"/>
  <c r="U384" i="538"/>
  <c r="T384" i="538"/>
  <c r="S384" i="538"/>
  <c r="R384" i="538"/>
  <c r="Q384" i="538"/>
  <c r="V383" i="538"/>
  <c r="U383" i="538"/>
  <c r="T383" i="538"/>
  <c r="S383" i="538"/>
  <c r="R383" i="538"/>
  <c r="Q383" i="538"/>
  <c r="V382" i="538"/>
  <c r="U382" i="538"/>
  <c r="T382" i="538"/>
  <c r="S382" i="538"/>
  <c r="R382" i="538"/>
  <c r="Q382" i="538"/>
  <c r="V381" i="538"/>
  <c r="U381" i="538"/>
  <c r="T381" i="538"/>
  <c r="S381" i="538"/>
  <c r="R381" i="538"/>
  <c r="Q381" i="538"/>
  <c r="V380" i="538"/>
  <c r="U380" i="538"/>
  <c r="T380" i="538"/>
  <c r="S380" i="538"/>
  <c r="R380" i="538"/>
  <c r="Q380" i="538"/>
  <c r="V379" i="538"/>
  <c r="U379" i="538"/>
  <c r="T379" i="538"/>
  <c r="S379" i="538"/>
  <c r="R379" i="538"/>
  <c r="Q379" i="538"/>
  <c r="V378" i="538"/>
  <c r="U378" i="538"/>
  <c r="T378" i="538"/>
  <c r="S378" i="538"/>
  <c r="R378" i="538"/>
  <c r="Q378" i="538"/>
  <c r="V377" i="538"/>
  <c r="U377" i="538"/>
  <c r="T377" i="538"/>
  <c r="S377" i="538"/>
  <c r="R377" i="538"/>
  <c r="Q377" i="538"/>
  <c r="V376" i="538"/>
  <c r="U376" i="538"/>
  <c r="T376" i="538"/>
  <c r="S376" i="538"/>
  <c r="R376" i="538"/>
  <c r="Q376" i="538"/>
  <c r="V375" i="538"/>
  <c r="U375" i="538"/>
  <c r="T375" i="538"/>
  <c r="S375" i="538"/>
  <c r="R375" i="538"/>
  <c r="Q375" i="538"/>
  <c r="V374" i="538"/>
  <c r="U374" i="538"/>
  <c r="T374" i="538"/>
  <c r="S374" i="538"/>
  <c r="R374" i="538"/>
  <c r="Q374" i="538"/>
  <c r="V373" i="538"/>
  <c r="U373" i="538"/>
  <c r="T373" i="538"/>
  <c r="S373" i="538"/>
  <c r="R373" i="538"/>
  <c r="Q373" i="538"/>
  <c r="V372" i="538"/>
  <c r="U372" i="538"/>
  <c r="T372" i="538"/>
  <c r="S372" i="538"/>
  <c r="R372" i="538"/>
  <c r="Q372" i="538"/>
  <c r="V371" i="538"/>
  <c r="U371" i="538"/>
  <c r="T371" i="538"/>
  <c r="S371" i="538"/>
  <c r="R371" i="538"/>
  <c r="Q371" i="538"/>
  <c r="V370" i="538"/>
  <c r="U370" i="538"/>
  <c r="T370" i="538"/>
  <c r="S370" i="538"/>
  <c r="R370" i="538"/>
  <c r="Q370" i="538"/>
  <c r="V369" i="538"/>
  <c r="U369" i="538"/>
  <c r="T369" i="538"/>
  <c r="S369" i="538"/>
  <c r="R369" i="538"/>
  <c r="Q369" i="538"/>
  <c r="V368" i="538"/>
  <c r="U368" i="538"/>
  <c r="T368" i="538"/>
  <c r="S368" i="538"/>
  <c r="R368" i="538"/>
  <c r="Q368" i="538"/>
  <c r="V367" i="538"/>
  <c r="U367" i="538"/>
  <c r="T367" i="538"/>
  <c r="S367" i="538"/>
  <c r="R367" i="538"/>
  <c r="Q367" i="538"/>
  <c r="V366" i="538"/>
  <c r="U366" i="538"/>
  <c r="T366" i="538"/>
  <c r="S366" i="538"/>
  <c r="R366" i="538"/>
  <c r="Q366" i="538"/>
  <c r="V365" i="538"/>
  <c r="U365" i="538"/>
  <c r="T365" i="538"/>
  <c r="S365" i="538"/>
  <c r="R365" i="538"/>
  <c r="Q365" i="538"/>
  <c r="V364" i="538"/>
  <c r="U364" i="538"/>
  <c r="T364" i="538"/>
  <c r="S364" i="538"/>
  <c r="R364" i="538"/>
  <c r="Q364" i="538"/>
  <c r="V363" i="538"/>
  <c r="U363" i="538"/>
  <c r="T363" i="538"/>
  <c r="S363" i="538"/>
  <c r="R363" i="538"/>
  <c r="Q363" i="538"/>
  <c r="V362" i="538"/>
  <c r="U362" i="538"/>
  <c r="T362" i="538"/>
  <c r="S362" i="538"/>
  <c r="R362" i="538"/>
  <c r="Q362" i="538"/>
  <c r="V361" i="538"/>
  <c r="U361" i="538"/>
  <c r="T361" i="538"/>
  <c r="S361" i="538"/>
  <c r="R361" i="538"/>
  <c r="Q361" i="538"/>
  <c r="V360" i="538"/>
  <c r="U360" i="538"/>
  <c r="T360" i="538"/>
  <c r="S360" i="538"/>
  <c r="R360" i="538"/>
  <c r="Q360" i="538"/>
  <c r="V359" i="538"/>
  <c r="U359" i="538"/>
  <c r="T359" i="538"/>
  <c r="S359" i="538"/>
  <c r="R359" i="538"/>
  <c r="Q359" i="538"/>
  <c r="V358" i="538"/>
  <c r="U358" i="538"/>
  <c r="T358" i="538"/>
  <c r="S358" i="538"/>
  <c r="R358" i="538"/>
  <c r="Q358" i="538"/>
  <c r="V357" i="538"/>
  <c r="U357" i="538"/>
  <c r="T357" i="538"/>
  <c r="S357" i="538"/>
  <c r="R357" i="538"/>
  <c r="Q357" i="538"/>
  <c r="V356" i="538"/>
  <c r="U356" i="538"/>
  <c r="T356" i="538"/>
  <c r="S356" i="538"/>
  <c r="R356" i="538"/>
  <c r="Q356" i="538"/>
  <c r="V355" i="538"/>
  <c r="U355" i="538"/>
  <c r="T355" i="538"/>
  <c r="S355" i="538"/>
  <c r="R355" i="538"/>
  <c r="Q355" i="538"/>
  <c r="V354" i="538"/>
  <c r="U354" i="538"/>
  <c r="T354" i="538"/>
  <c r="S354" i="538"/>
  <c r="R354" i="538"/>
  <c r="Q354" i="538"/>
  <c r="V353" i="538"/>
  <c r="U353" i="538"/>
  <c r="T353" i="538"/>
  <c r="S353" i="538"/>
  <c r="R353" i="538"/>
  <c r="Q353" i="538"/>
  <c r="V352" i="538"/>
  <c r="U352" i="538"/>
  <c r="T352" i="538"/>
  <c r="S352" i="538"/>
  <c r="R352" i="538"/>
  <c r="Q352" i="538"/>
  <c r="V351" i="538"/>
  <c r="U351" i="538"/>
  <c r="T351" i="538"/>
  <c r="S351" i="538"/>
  <c r="R351" i="538"/>
  <c r="Q351" i="538"/>
  <c r="V350" i="538"/>
  <c r="U350" i="538"/>
  <c r="T350" i="538"/>
  <c r="S350" i="538"/>
  <c r="R350" i="538"/>
  <c r="Q350" i="538"/>
  <c r="V349" i="538"/>
  <c r="U349" i="538"/>
  <c r="T349" i="538"/>
  <c r="S349" i="538"/>
  <c r="R349" i="538"/>
  <c r="Q349" i="538"/>
  <c r="V348" i="538"/>
  <c r="U348" i="538"/>
  <c r="T348" i="538"/>
  <c r="S348" i="538"/>
  <c r="R348" i="538"/>
  <c r="Q348" i="538"/>
  <c r="V347" i="538"/>
  <c r="U347" i="538"/>
  <c r="T347" i="538"/>
  <c r="S347" i="538"/>
  <c r="R347" i="538"/>
  <c r="Q347" i="538"/>
  <c r="V346" i="538"/>
  <c r="U346" i="538"/>
  <c r="T346" i="538"/>
  <c r="S346" i="538"/>
  <c r="R346" i="538"/>
  <c r="Q346" i="538"/>
  <c r="V345" i="538"/>
  <c r="U345" i="538"/>
  <c r="T345" i="538"/>
  <c r="S345" i="538"/>
  <c r="R345" i="538"/>
  <c r="Q345" i="538"/>
  <c r="V344" i="538"/>
  <c r="U344" i="538"/>
  <c r="T344" i="538"/>
  <c r="S344" i="538"/>
  <c r="R344" i="538"/>
  <c r="Q344" i="538"/>
  <c r="V343" i="538"/>
  <c r="U343" i="538"/>
  <c r="T343" i="538"/>
  <c r="S343" i="538"/>
  <c r="R343" i="538"/>
  <c r="Q343" i="538"/>
  <c r="V342" i="538"/>
  <c r="U342" i="538"/>
  <c r="T342" i="538"/>
  <c r="S342" i="538"/>
  <c r="R342" i="538"/>
  <c r="Q342" i="538"/>
  <c r="V341" i="538"/>
  <c r="U341" i="538"/>
  <c r="T341" i="538"/>
  <c r="S341" i="538"/>
  <c r="R341" i="538"/>
  <c r="Q341" i="538"/>
  <c r="V340" i="538"/>
  <c r="U340" i="538"/>
  <c r="T340" i="538"/>
  <c r="S340" i="538"/>
  <c r="R340" i="538"/>
  <c r="Q340" i="538"/>
  <c r="V339" i="538"/>
  <c r="U339" i="538"/>
  <c r="T339" i="538"/>
  <c r="S339" i="538"/>
  <c r="R339" i="538"/>
  <c r="Q339" i="538"/>
  <c r="V338" i="538"/>
  <c r="U338" i="538"/>
  <c r="T338" i="538"/>
  <c r="S338" i="538"/>
  <c r="R338" i="538"/>
  <c r="Q338" i="538"/>
  <c r="V337" i="538"/>
  <c r="U337" i="538"/>
  <c r="T337" i="538"/>
  <c r="S337" i="538"/>
  <c r="R337" i="538"/>
  <c r="Q337" i="538"/>
  <c r="V336" i="538"/>
  <c r="U336" i="538"/>
  <c r="T336" i="538"/>
  <c r="S336" i="538"/>
  <c r="R336" i="538"/>
  <c r="Q336" i="538"/>
  <c r="V335" i="538"/>
  <c r="U335" i="538"/>
  <c r="T335" i="538"/>
  <c r="S335" i="538"/>
  <c r="R335" i="538"/>
  <c r="Q335" i="538"/>
  <c r="V334" i="538"/>
  <c r="U334" i="538"/>
  <c r="T334" i="538"/>
  <c r="S334" i="538"/>
  <c r="R334" i="538"/>
  <c r="Q334" i="538"/>
  <c r="V333" i="538"/>
  <c r="U333" i="538"/>
  <c r="T333" i="538"/>
  <c r="S333" i="538"/>
  <c r="R333" i="538"/>
  <c r="Q333" i="538"/>
  <c r="V332" i="538"/>
  <c r="U332" i="538"/>
  <c r="T332" i="538"/>
  <c r="S332" i="538"/>
  <c r="R332" i="538"/>
  <c r="Q332" i="538"/>
  <c r="V331" i="538"/>
  <c r="U331" i="538"/>
  <c r="T331" i="538"/>
  <c r="S331" i="538"/>
  <c r="R331" i="538"/>
  <c r="Q331" i="538"/>
  <c r="V330" i="538"/>
  <c r="U330" i="538"/>
  <c r="T330" i="538"/>
  <c r="S330" i="538"/>
  <c r="R330" i="538"/>
  <c r="Q330" i="538"/>
  <c r="V329" i="538"/>
  <c r="U329" i="538"/>
  <c r="T329" i="538"/>
  <c r="S329" i="538"/>
  <c r="R329" i="538"/>
  <c r="Q329" i="538"/>
  <c r="V328" i="538"/>
  <c r="U328" i="538"/>
  <c r="T328" i="538"/>
  <c r="S328" i="538"/>
  <c r="R328" i="538"/>
  <c r="Q328" i="538"/>
  <c r="V327" i="538"/>
  <c r="U327" i="538"/>
  <c r="T327" i="538"/>
  <c r="S327" i="538"/>
  <c r="R327" i="538"/>
  <c r="Q327" i="538"/>
  <c r="V326" i="538"/>
  <c r="U326" i="538"/>
  <c r="T326" i="538"/>
  <c r="S326" i="538"/>
  <c r="R326" i="538"/>
  <c r="Q326" i="538"/>
  <c r="V325" i="538"/>
  <c r="U325" i="538"/>
  <c r="T325" i="538"/>
  <c r="S325" i="538"/>
  <c r="R325" i="538"/>
  <c r="Q325" i="538"/>
  <c r="V324" i="538"/>
  <c r="U324" i="538"/>
  <c r="T324" i="538"/>
  <c r="S324" i="538"/>
  <c r="R324" i="538"/>
  <c r="Q324" i="538"/>
  <c r="V323" i="538"/>
  <c r="U323" i="538"/>
  <c r="T323" i="538"/>
  <c r="S323" i="538"/>
  <c r="R323" i="538"/>
  <c r="Q323" i="538"/>
  <c r="V322" i="538"/>
  <c r="U322" i="538"/>
  <c r="T322" i="538"/>
  <c r="S322" i="538"/>
  <c r="R322" i="538"/>
  <c r="Q322" i="538"/>
  <c r="V321" i="538"/>
  <c r="U321" i="538"/>
  <c r="T321" i="538"/>
  <c r="S321" i="538"/>
  <c r="R321" i="538"/>
  <c r="Q321" i="538"/>
  <c r="V320" i="538"/>
  <c r="U320" i="538"/>
  <c r="T320" i="538"/>
  <c r="S320" i="538"/>
  <c r="R320" i="538"/>
  <c r="Q320" i="538"/>
  <c r="V319" i="538"/>
  <c r="U319" i="538"/>
  <c r="T319" i="538"/>
  <c r="S319" i="538"/>
  <c r="R319" i="538"/>
  <c r="Q319" i="538"/>
  <c r="V318" i="538"/>
  <c r="U318" i="538"/>
  <c r="T318" i="538"/>
  <c r="S318" i="538"/>
  <c r="R318" i="538"/>
  <c r="Q318" i="538"/>
  <c r="V317" i="538"/>
  <c r="U317" i="538"/>
  <c r="T317" i="538"/>
  <c r="S317" i="538"/>
  <c r="R317" i="538"/>
  <c r="Q317" i="538"/>
  <c r="V316" i="538"/>
  <c r="U316" i="538"/>
  <c r="T316" i="538"/>
  <c r="S316" i="538"/>
  <c r="R316" i="538"/>
  <c r="Q316" i="538"/>
  <c r="V315" i="538"/>
  <c r="U315" i="538"/>
  <c r="T315" i="538"/>
  <c r="S315" i="538"/>
  <c r="R315" i="538"/>
  <c r="Q315" i="538"/>
  <c r="V314" i="538"/>
  <c r="U314" i="538"/>
  <c r="T314" i="538"/>
  <c r="S314" i="538"/>
  <c r="R314" i="538"/>
  <c r="Q314" i="538"/>
  <c r="V313" i="538"/>
  <c r="U313" i="538"/>
  <c r="T313" i="538"/>
  <c r="S313" i="538"/>
  <c r="R313" i="538"/>
  <c r="Q313" i="538"/>
  <c r="V312" i="538"/>
  <c r="U312" i="538"/>
  <c r="T312" i="538"/>
  <c r="S312" i="538"/>
  <c r="R312" i="538"/>
  <c r="Q312" i="538"/>
  <c r="V311" i="538"/>
  <c r="U311" i="538"/>
  <c r="T311" i="538"/>
  <c r="S311" i="538"/>
  <c r="R311" i="538"/>
  <c r="Q311" i="538"/>
  <c r="V310" i="538"/>
  <c r="U310" i="538"/>
  <c r="T310" i="538"/>
  <c r="S310" i="538"/>
  <c r="R310" i="538"/>
  <c r="Q310" i="538"/>
  <c r="V309" i="538"/>
  <c r="U309" i="538"/>
  <c r="T309" i="538"/>
  <c r="S309" i="538"/>
  <c r="R309" i="538"/>
  <c r="Q309" i="538"/>
  <c r="V308" i="538"/>
  <c r="U308" i="538"/>
  <c r="T308" i="538"/>
  <c r="S308" i="538"/>
  <c r="R308" i="538"/>
  <c r="Q308" i="538"/>
  <c r="V307" i="538"/>
  <c r="U307" i="538"/>
  <c r="T307" i="538"/>
  <c r="S307" i="538"/>
  <c r="R307" i="538"/>
  <c r="Q307" i="538"/>
  <c r="V306" i="538"/>
  <c r="U306" i="538"/>
  <c r="T306" i="538"/>
  <c r="S306" i="538"/>
  <c r="R306" i="538"/>
  <c r="Q306" i="538"/>
  <c r="V305" i="538"/>
  <c r="U305" i="538"/>
  <c r="T305" i="538"/>
  <c r="S305" i="538"/>
  <c r="R305" i="538"/>
  <c r="Q305" i="538"/>
  <c r="V304" i="538"/>
  <c r="U304" i="538"/>
  <c r="T304" i="538"/>
  <c r="S304" i="538"/>
  <c r="R304" i="538"/>
  <c r="Q304" i="538"/>
  <c r="V303" i="538"/>
  <c r="U303" i="538"/>
  <c r="T303" i="538"/>
  <c r="S303" i="538"/>
  <c r="R303" i="538"/>
  <c r="Q303" i="538"/>
  <c r="V302" i="538"/>
  <c r="U302" i="538"/>
  <c r="T302" i="538"/>
  <c r="S302" i="538"/>
  <c r="R302" i="538"/>
  <c r="Q302" i="538"/>
  <c r="V301" i="538"/>
  <c r="U301" i="538"/>
  <c r="T301" i="538"/>
  <c r="S301" i="538"/>
  <c r="R301" i="538"/>
  <c r="Q301" i="538"/>
  <c r="V300" i="538"/>
  <c r="U300" i="538"/>
  <c r="T300" i="538"/>
  <c r="S300" i="538"/>
  <c r="R300" i="538"/>
  <c r="Q300" i="538"/>
  <c r="V299" i="538"/>
  <c r="U299" i="538"/>
  <c r="T299" i="538"/>
  <c r="S299" i="538"/>
  <c r="R299" i="538"/>
  <c r="Q299" i="538"/>
  <c r="V298" i="538"/>
  <c r="U298" i="538"/>
  <c r="T298" i="538"/>
  <c r="S298" i="538"/>
  <c r="R298" i="538"/>
  <c r="Q298" i="538"/>
  <c r="V297" i="538"/>
  <c r="U297" i="538"/>
  <c r="T297" i="538"/>
  <c r="S297" i="538"/>
  <c r="R297" i="538"/>
  <c r="Q297" i="538"/>
  <c r="V296" i="538"/>
  <c r="U296" i="538"/>
  <c r="T296" i="538"/>
  <c r="S296" i="538"/>
  <c r="R296" i="538"/>
  <c r="Q296" i="538"/>
  <c r="V295" i="538"/>
  <c r="U295" i="538"/>
  <c r="T295" i="538"/>
  <c r="S295" i="538"/>
  <c r="R295" i="538"/>
  <c r="Q295" i="538"/>
  <c r="V294" i="538"/>
  <c r="U294" i="538"/>
  <c r="T294" i="538"/>
  <c r="S294" i="538"/>
  <c r="R294" i="538"/>
  <c r="Q294" i="538"/>
  <c r="V293" i="538"/>
  <c r="U293" i="538"/>
  <c r="T293" i="538"/>
  <c r="S293" i="538"/>
  <c r="R293" i="538"/>
  <c r="Q293" i="538"/>
  <c r="V292" i="538"/>
  <c r="U292" i="538"/>
  <c r="T292" i="538"/>
  <c r="S292" i="538"/>
  <c r="R292" i="538"/>
  <c r="Q292" i="538"/>
  <c r="V291" i="538"/>
  <c r="U291" i="538"/>
  <c r="T291" i="538"/>
  <c r="S291" i="538"/>
  <c r="R291" i="538"/>
  <c r="Q291" i="538"/>
  <c r="V290" i="538"/>
  <c r="U290" i="538"/>
  <c r="T290" i="538"/>
  <c r="S290" i="538"/>
  <c r="R290" i="538"/>
  <c r="Q290" i="538"/>
  <c r="V289" i="538"/>
  <c r="U289" i="538"/>
  <c r="T289" i="538"/>
  <c r="S289" i="538"/>
  <c r="R289" i="538"/>
  <c r="Q289" i="538"/>
  <c r="V288" i="538"/>
  <c r="U288" i="538"/>
  <c r="T288" i="538"/>
  <c r="S288" i="538"/>
  <c r="R288" i="538"/>
  <c r="Q288" i="538"/>
  <c r="V287" i="538"/>
  <c r="U287" i="538"/>
  <c r="T287" i="538"/>
  <c r="S287" i="538"/>
  <c r="R287" i="538"/>
  <c r="Q287" i="538"/>
  <c r="V286" i="538"/>
  <c r="U286" i="538"/>
  <c r="T286" i="538"/>
  <c r="S286" i="538"/>
  <c r="R286" i="538"/>
  <c r="Q286" i="538"/>
  <c r="V285" i="538"/>
  <c r="U285" i="538"/>
  <c r="T285" i="538"/>
  <c r="S285" i="538"/>
  <c r="R285" i="538"/>
  <c r="Q285" i="538"/>
  <c r="V284" i="538"/>
  <c r="U284" i="538"/>
  <c r="T284" i="538"/>
  <c r="S284" i="538"/>
  <c r="R284" i="538"/>
  <c r="Q284" i="538"/>
  <c r="V283" i="538"/>
  <c r="U283" i="538"/>
  <c r="T283" i="538"/>
  <c r="S283" i="538"/>
  <c r="R283" i="538"/>
  <c r="Q283" i="538"/>
  <c r="V282" i="538"/>
  <c r="U282" i="538"/>
  <c r="T282" i="538"/>
  <c r="S282" i="538"/>
  <c r="R282" i="538"/>
  <c r="Q282" i="538"/>
  <c r="V281" i="538"/>
  <c r="U281" i="538"/>
  <c r="T281" i="538"/>
  <c r="S281" i="538"/>
  <c r="R281" i="538"/>
  <c r="Q281" i="538"/>
  <c r="V280" i="538"/>
  <c r="U280" i="538"/>
  <c r="T280" i="538"/>
  <c r="S280" i="538"/>
  <c r="R280" i="538"/>
  <c r="Q280" i="538"/>
  <c r="V279" i="538"/>
  <c r="U279" i="538"/>
  <c r="T279" i="538"/>
  <c r="S279" i="538"/>
  <c r="R279" i="538"/>
  <c r="Q279" i="538"/>
  <c r="V278" i="538"/>
  <c r="U278" i="538"/>
  <c r="T278" i="538"/>
  <c r="S278" i="538"/>
  <c r="R278" i="538"/>
  <c r="Q278" i="538"/>
  <c r="V277" i="538"/>
  <c r="U277" i="538"/>
  <c r="T277" i="538"/>
  <c r="S277" i="538"/>
  <c r="R277" i="538"/>
  <c r="Q277" i="538"/>
  <c r="V276" i="538"/>
  <c r="U276" i="538"/>
  <c r="T276" i="538"/>
  <c r="S276" i="538"/>
  <c r="R276" i="538"/>
  <c r="Q276" i="538"/>
  <c r="V275" i="538"/>
  <c r="U275" i="538"/>
  <c r="T275" i="538"/>
  <c r="S275" i="538"/>
  <c r="R275" i="538"/>
  <c r="Q275" i="538"/>
  <c r="V274" i="538"/>
  <c r="U274" i="538"/>
  <c r="T274" i="538"/>
  <c r="S274" i="538"/>
  <c r="R274" i="538"/>
  <c r="Q274" i="538"/>
  <c r="V273" i="538"/>
  <c r="U273" i="538"/>
  <c r="T273" i="538"/>
  <c r="S273" i="538"/>
  <c r="R273" i="538"/>
  <c r="Q273" i="538"/>
  <c r="V272" i="538"/>
  <c r="U272" i="538"/>
  <c r="T272" i="538"/>
  <c r="S272" i="538"/>
  <c r="R272" i="538"/>
  <c r="Q272" i="538"/>
  <c r="V271" i="538"/>
  <c r="U271" i="538"/>
  <c r="T271" i="538"/>
  <c r="S271" i="538"/>
  <c r="R271" i="538"/>
  <c r="Q271" i="538"/>
  <c r="V270" i="538"/>
  <c r="U270" i="538"/>
  <c r="T270" i="538"/>
  <c r="S270" i="538"/>
  <c r="R270" i="538"/>
  <c r="Q270" i="538"/>
  <c r="V269" i="538"/>
  <c r="U269" i="538"/>
  <c r="T269" i="538"/>
  <c r="S269" i="538"/>
  <c r="R269" i="538"/>
  <c r="Q269" i="538"/>
  <c r="V268" i="538"/>
  <c r="U268" i="538"/>
  <c r="T268" i="538"/>
  <c r="S268" i="538"/>
  <c r="R268" i="538"/>
  <c r="Q268" i="538"/>
  <c r="V267" i="538"/>
  <c r="U267" i="538"/>
  <c r="T267" i="538"/>
  <c r="S267" i="538"/>
  <c r="R267" i="538"/>
  <c r="Q267" i="538"/>
  <c r="V266" i="538"/>
  <c r="U266" i="538"/>
  <c r="T266" i="538"/>
  <c r="S266" i="538"/>
  <c r="R266" i="538"/>
  <c r="Q266" i="538"/>
  <c r="V265" i="538"/>
  <c r="U265" i="538"/>
  <c r="T265" i="538"/>
  <c r="S265" i="538"/>
  <c r="R265" i="538"/>
  <c r="Q265" i="538"/>
  <c r="V264" i="538"/>
  <c r="U264" i="538"/>
  <c r="T264" i="538"/>
  <c r="S264" i="538"/>
  <c r="R264" i="538"/>
  <c r="Q264" i="538"/>
  <c r="V263" i="538"/>
  <c r="U263" i="538"/>
  <c r="T263" i="538"/>
  <c r="S263" i="538"/>
  <c r="R263" i="538"/>
  <c r="Q263" i="538"/>
  <c r="V262" i="538"/>
  <c r="U262" i="538"/>
  <c r="T262" i="538"/>
  <c r="S262" i="538"/>
  <c r="R262" i="538"/>
  <c r="Q262" i="538"/>
  <c r="V261" i="538"/>
  <c r="U261" i="538"/>
  <c r="T261" i="538"/>
  <c r="S261" i="538"/>
  <c r="R261" i="538"/>
  <c r="Q261" i="538"/>
  <c r="V260" i="538"/>
  <c r="U260" i="538"/>
  <c r="T260" i="538"/>
  <c r="S260" i="538"/>
  <c r="R260" i="538"/>
  <c r="Q260" i="538"/>
  <c r="V259" i="538"/>
  <c r="U259" i="538"/>
  <c r="T259" i="538"/>
  <c r="S259" i="538"/>
  <c r="R259" i="538"/>
  <c r="Q259" i="538"/>
  <c r="V258" i="538"/>
  <c r="U258" i="538"/>
  <c r="T258" i="538"/>
  <c r="S258" i="538"/>
  <c r="R258" i="538"/>
  <c r="Q258" i="538"/>
  <c r="V257" i="538"/>
  <c r="U257" i="538"/>
  <c r="T257" i="538"/>
  <c r="S257" i="538"/>
  <c r="R257" i="538"/>
  <c r="Q257" i="538"/>
  <c r="V256" i="538"/>
  <c r="U256" i="538"/>
  <c r="T256" i="538"/>
  <c r="S256" i="538"/>
  <c r="R256" i="538"/>
  <c r="Q256" i="538"/>
  <c r="V255" i="538"/>
  <c r="U255" i="538"/>
  <c r="T255" i="538"/>
  <c r="S255" i="538"/>
  <c r="R255" i="538"/>
  <c r="Q255" i="538"/>
  <c r="V254" i="538"/>
  <c r="U254" i="538"/>
  <c r="T254" i="538"/>
  <c r="S254" i="538"/>
  <c r="R254" i="538"/>
  <c r="Q254" i="538"/>
  <c r="V253" i="538"/>
  <c r="U253" i="538"/>
  <c r="T253" i="538"/>
  <c r="S253" i="538"/>
  <c r="R253" i="538"/>
  <c r="Q253" i="538"/>
  <c r="V252" i="538"/>
  <c r="U252" i="538"/>
  <c r="T252" i="538"/>
  <c r="S252" i="538"/>
  <c r="R252" i="538"/>
  <c r="Q252" i="538"/>
  <c r="V251" i="538"/>
  <c r="U251" i="538"/>
  <c r="T251" i="538"/>
  <c r="S251" i="538"/>
  <c r="R251" i="538"/>
  <c r="Q251" i="538"/>
  <c r="V250" i="538"/>
  <c r="U250" i="538"/>
  <c r="T250" i="538"/>
  <c r="S250" i="538"/>
  <c r="R250" i="538"/>
  <c r="Q250" i="538"/>
  <c r="V249" i="538"/>
  <c r="U249" i="538"/>
  <c r="T249" i="538"/>
  <c r="S249" i="538"/>
  <c r="R249" i="538"/>
  <c r="Q249" i="538"/>
  <c r="V248" i="538"/>
  <c r="U248" i="538"/>
  <c r="T248" i="538"/>
  <c r="S248" i="538"/>
  <c r="R248" i="538"/>
  <c r="Q248" i="538"/>
  <c r="V247" i="538"/>
  <c r="U247" i="538"/>
  <c r="T247" i="538"/>
  <c r="S247" i="538"/>
  <c r="R247" i="538"/>
  <c r="Q247" i="538"/>
  <c r="V246" i="538"/>
  <c r="U246" i="538"/>
  <c r="T246" i="538"/>
  <c r="S246" i="538"/>
  <c r="R246" i="538"/>
  <c r="Q246" i="538"/>
  <c r="V245" i="538"/>
  <c r="U245" i="538"/>
  <c r="T245" i="538"/>
  <c r="S245" i="538"/>
  <c r="R245" i="538"/>
  <c r="Q245" i="538"/>
  <c r="V244" i="538"/>
  <c r="U244" i="538"/>
  <c r="T244" i="538"/>
  <c r="S244" i="538"/>
  <c r="R244" i="538"/>
  <c r="Q244" i="538"/>
  <c r="V243" i="538"/>
  <c r="U243" i="538"/>
  <c r="T243" i="538"/>
  <c r="S243" i="538"/>
  <c r="R243" i="538"/>
  <c r="Q243" i="538"/>
  <c r="V242" i="538"/>
  <c r="U242" i="538"/>
  <c r="T242" i="538"/>
  <c r="S242" i="538"/>
  <c r="R242" i="538"/>
  <c r="Q242" i="538"/>
  <c r="V241" i="538"/>
  <c r="U241" i="538"/>
  <c r="T241" i="538"/>
  <c r="S241" i="538"/>
  <c r="R241" i="538"/>
  <c r="Q241" i="538"/>
  <c r="V240" i="538"/>
  <c r="U240" i="538"/>
  <c r="T240" i="538"/>
  <c r="S240" i="538"/>
  <c r="R240" i="538"/>
  <c r="Q240" i="538"/>
  <c r="V239" i="538"/>
  <c r="U239" i="538"/>
  <c r="T239" i="538"/>
  <c r="S239" i="538"/>
  <c r="R239" i="538"/>
  <c r="Q239" i="538"/>
  <c r="V238" i="538"/>
  <c r="U238" i="538"/>
  <c r="T238" i="538"/>
  <c r="S238" i="538"/>
  <c r="R238" i="538"/>
  <c r="Q238" i="538"/>
  <c r="V237" i="538"/>
  <c r="U237" i="538"/>
  <c r="T237" i="538"/>
  <c r="S237" i="538"/>
  <c r="R237" i="538"/>
  <c r="Q237" i="538"/>
  <c r="V236" i="538"/>
  <c r="U236" i="538"/>
  <c r="T236" i="538"/>
  <c r="S236" i="538"/>
  <c r="R236" i="538"/>
  <c r="Q236" i="538"/>
  <c r="V235" i="538"/>
  <c r="U235" i="538"/>
  <c r="T235" i="538"/>
  <c r="S235" i="538"/>
  <c r="R235" i="538"/>
  <c r="Q235" i="538"/>
  <c r="V234" i="538"/>
  <c r="U234" i="538"/>
  <c r="T234" i="538"/>
  <c r="S234" i="538"/>
  <c r="R234" i="538"/>
  <c r="Q234" i="538"/>
  <c r="V233" i="538"/>
  <c r="U233" i="538"/>
  <c r="T233" i="538"/>
  <c r="S233" i="538"/>
  <c r="R233" i="538"/>
  <c r="Q233" i="538"/>
  <c r="V232" i="538"/>
  <c r="U232" i="538"/>
  <c r="T232" i="538"/>
  <c r="S232" i="538"/>
  <c r="R232" i="538"/>
  <c r="Q232" i="538"/>
  <c r="V231" i="538"/>
  <c r="U231" i="538"/>
  <c r="T231" i="538"/>
  <c r="S231" i="538"/>
  <c r="R231" i="538"/>
  <c r="Q231" i="538"/>
  <c r="V230" i="538"/>
  <c r="U230" i="538"/>
  <c r="T230" i="538"/>
  <c r="S230" i="538"/>
  <c r="R230" i="538"/>
  <c r="Q230" i="538"/>
  <c r="V229" i="538"/>
  <c r="U229" i="538"/>
  <c r="T229" i="538"/>
  <c r="S229" i="538"/>
  <c r="R229" i="538"/>
  <c r="Q229" i="538"/>
  <c r="V228" i="538"/>
  <c r="U228" i="538"/>
  <c r="T228" i="538"/>
  <c r="S228" i="538"/>
  <c r="R228" i="538"/>
  <c r="Q228" i="538"/>
  <c r="V227" i="538"/>
  <c r="U227" i="538"/>
  <c r="T227" i="538"/>
  <c r="S227" i="538"/>
  <c r="R227" i="538"/>
  <c r="Q227" i="538"/>
  <c r="V226" i="538"/>
  <c r="U226" i="538"/>
  <c r="T226" i="538"/>
  <c r="S226" i="538"/>
  <c r="R226" i="538"/>
  <c r="Q226" i="538"/>
  <c r="V225" i="538"/>
  <c r="U225" i="538"/>
  <c r="T225" i="538"/>
  <c r="S225" i="538"/>
  <c r="R225" i="538"/>
  <c r="Q225" i="538"/>
  <c r="V224" i="538"/>
  <c r="U224" i="538"/>
  <c r="T224" i="538"/>
  <c r="S224" i="538"/>
  <c r="R224" i="538"/>
  <c r="Q224" i="538"/>
  <c r="V223" i="538"/>
  <c r="U223" i="538"/>
  <c r="T223" i="538"/>
  <c r="S223" i="538"/>
  <c r="R223" i="538"/>
  <c r="Q223" i="538"/>
  <c r="V222" i="538"/>
  <c r="U222" i="538"/>
  <c r="T222" i="538"/>
  <c r="S222" i="538"/>
  <c r="R222" i="538"/>
  <c r="Q222" i="538"/>
  <c r="V221" i="538"/>
  <c r="U221" i="538"/>
  <c r="T221" i="538"/>
  <c r="S221" i="538"/>
  <c r="R221" i="538"/>
  <c r="Q221" i="538"/>
  <c r="V220" i="538"/>
  <c r="U220" i="538"/>
  <c r="T220" i="538"/>
  <c r="S220" i="538"/>
  <c r="R220" i="538"/>
  <c r="Q220" i="538"/>
  <c r="V219" i="538"/>
  <c r="U219" i="538"/>
  <c r="T219" i="538"/>
  <c r="S219" i="538"/>
  <c r="R219" i="538"/>
  <c r="Q219" i="538"/>
  <c r="V218" i="538"/>
  <c r="U218" i="538"/>
  <c r="T218" i="538"/>
  <c r="S218" i="538"/>
  <c r="R218" i="538"/>
  <c r="Q218" i="538"/>
  <c r="V217" i="538"/>
  <c r="U217" i="538"/>
  <c r="T217" i="538"/>
  <c r="S217" i="538"/>
  <c r="R217" i="538"/>
  <c r="Q217" i="538"/>
  <c r="V216" i="538"/>
  <c r="U216" i="538"/>
  <c r="T216" i="538"/>
  <c r="S216" i="538"/>
  <c r="R216" i="538"/>
  <c r="Q216" i="538"/>
  <c r="V215" i="538"/>
  <c r="U215" i="538"/>
  <c r="T215" i="538"/>
  <c r="S215" i="538"/>
  <c r="R215" i="538"/>
  <c r="Q215" i="538"/>
  <c r="V214" i="538"/>
  <c r="U214" i="538"/>
  <c r="T214" i="538"/>
  <c r="S214" i="538"/>
  <c r="R214" i="538"/>
  <c r="Q214" i="538"/>
  <c r="V213" i="538"/>
  <c r="U213" i="538"/>
  <c r="T213" i="538"/>
  <c r="S213" i="538"/>
  <c r="R213" i="538"/>
  <c r="Q213" i="538"/>
  <c r="V212" i="538"/>
  <c r="U212" i="538"/>
  <c r="T212" i="538"/>
  <c r="S212" i="538"/>
  <c r="R212" i="538"/>
  <c r="Q212" i="538"/>
  <c r="V211" i="538"/>
  <c r="U211" i="538"/>
  <c r="T211" i="538"/>
  <c r="S211" i="538"/>
  <c r="R211" i="538"/>
  <c r="Q211" i="538"/>
  <c r="V210" i="538"/>
  <c r="U210" i="538"/>
  <c r="T210" i="538"/>
  <c r="S210" i="538"/>
  <c r="R210" i="538"/>
  <c r="Q210" i="538"/>
  <c r="V209" i="538"/>
  <c r="U209" i="538"/>
  <c r="T209" i="538"/>
  <c r="S209" i="538"/>
  <c r="R209" i="538"/>
  <c r="Q209" i="538"/>
  <c r="V208" i="538"/>
  <c r="U208" i="538"/>
  <c r="T208" i="538"/>
  <c r="S208" i="538"/>
  <c r="R208" i="538"/>
  <c r="Q208" i="538"/>
  <c r="V207" i="538"/>
  <c r="U207" i="538"/>
  <c r="T207" i="538"/>
  <c r="S207" i="538"/>
  <c r="R207" i="538"/>
  <c r="Q207" i="538"/>
  <c r="V206" i="538"/>
  <c r="U206" i="538"/>
  <c r="T206" i="538"/>
  <c r="S206" i="538"/>
  <c r="R206" i="538"/>
  <c r="Q206" i="538"/>
  <c r="V205" i="538"/>
  <c r="U205" i="538"/>
  <c r="T205" i="538"/>
  <c r="S205" i="538"/>
  <c r="R205" i="538"/>
  <c r="Q205" i="538"/>
  <c r="V204" i="538"/>
  <c r="U204" i="538"/>
  <c r="T204" i="538"/>
  <c r="S204" i="538"/>
  <c r="R204" i="538"/>
  <c r="Q204" i="538"/>
  <c r="V203" i="538"/>
  <c r="U203" i="538"/>
  <c r="T203" i="538"/>
  <c r="S203" i="538"/>
  <c r="R203" i="538"/>
  <c r="Q203" i="538"/>
  <c r="V202" i="538"/>
  <c r="U202" i="538"/>
  <c r="T202" i="538"/>
  <c r="S202" i="538"/>
  <c r="R202" i="538"/>
  <c r="Q202" i="538"/>
  <c r="V201" i="538"/>
  <c r="U201" i="538"/>
  <c r="T201" i="538"/>
  <c r="S201" i="538"/>
  <c r="R201" i="538"/>
  <c r="Q201" i="538"/>
  <c r="V200" i="538"/>
  <c r="U200" i="538"/>
  <c r="T200" i="538"/>
  <c r="S200" i="538"/>
  <c r="R200" i="538"/>
  <c r="Q200" i="538"/>
  <c r="V199" i="538"/>
  <c r="U199" i="538"/>
  <c r="T199" i="538"/>
  <c r="S199" i="538"/>
  <c r="R199" i="538"/>
  <c r="Q199" i="538"/>
  <c r="V198" i="538"/>
  <c r="U198" i="538"/>
  <c r="T198" i="538"/>
  <c r="S198" i="538"/>
  <c r="R198" i="538"/>
  <c r="Q198" i="538"/>
  <c r="V197" i="538"/>
  <c r="U197" i="538"/>
  <c r="T197" i="538"/>
  <c r="S197" i="538"/>
  <c r="R197" i="538"/>
  <c r="Q197" i="538"/>
  <c r="V196" i="538"/>
  <c r="U196" i="538"/>
  <c r="T196" i="538"/>
  <c r="S196" i="538"/>
  <c r="R196" i="538"/>
  <c r="Q196" i="538"/>
  <c r="V195" i="538"/>
  <c r="U195" i="538"/>
  <c r="T195" i="538"/>
  <c r="S195" i="538"/>
  <c r="R195" i="538"/>
  <c r="Q195" i="538"/>
  <c r="V194" i="538"/>
  <c r="U194" i="538"/>
  <c r="T194" i="538"/>
  <c r="S194" i="538"/>
  <c r="R194" i="538"/>
  <c r="Q194" i="538"/>
  <c r="V193" i="538"/>
  <c r="U193" i="538"/>
  <c r="T193" i="538"/>
  <c r="S193" i="538"/>
  <c r="R193" i="538"/>
  <c r="Q193" i="538"/>
  <c r="V192" i="538"/>
  <c r="U192" i="538"/>
  <c r="T192" i="538"/>
  <c r="S192" i="538"/>
  <c r="R192" i="538"/>
  <c r="Q192" i="538"/>
  <c r="V191" i="538"/>
  <c r="U191" i="538"/>
  <c r="T191" i="538"/>
  <c r="S191" i="538"/>
  <c r="R191" i="538"/>
  <c r="Q191" i="538"/>
  <c r="V190" i="538"/>
  <c r="U190" i="538"/>
  <c r="T190" i="538"/>
  <c r="S190" i="538"/>
  <c r="R190" i="538"/>
  <c r="Q190" i="538"/>
  <c r="V189" i="538"/>
  <c r="U189" i="538"/>
  <c r="T189" i="538"/>
  <c r="S189" i="538"/>
  <c r="R189" i="538"/>
  <c r="Q189" i="538"/>
  <c r="V188" i="538"/>
  <c r="U188" i="538"/>
  <c r="T188" i="538"/>
  <c r="S188" i="538"/>
  <c r="R188" i="538"/>
  <c r="Q188" i="538"/>
  <c r="V187" i="538"/>
  <c r="U187" i="538"/>
  <c r="T187" i="538"/>
  <c r="S187" i="538"/>
  <c r="R187" i="538"/>
  <c r="Q187" i="538"/>
  <c r="V186" i="538"/>
  <c r="U186" i="538"/>
  <c r="T186" i="538"/>
  <c r="S186" i="538"/>
  <c r="R186" i="538"/>
  <c r="Q186" i="538"/>
  <c r="V185" i="538"/>
  <c r="U185" i="538"/>
  <c r="T185" i="538"/>
  <c r="S185" i="538"/>
  <c r="R185" i="538"/>
  <c r="Q185" i="538"/>
  <c r="V184" i="538"/>
  <c r="U184" i="538"/>
  <c r="T184" i="538"/>
  <c r="S184" i="538"/>
  <c r="R184" i="538"/>
  <c r="Q184" i="538"/>
  <c r="V183" i="538"/>
  <c r="U183" i="538"/>
  <c r="T183" i="538"/>
  <c r="S183" i="538"/>
  <c r="R183" i="538"/>
  <c r="Q183" i="538"/>
  <c r="V182" i="538"/>
  <c r="U182" i="538"/>
  <c r="T182" i="538"/>
  <c r="S182" i="538"/>
  <c r="R182" i="538"/>
  <c r="Q182" i="538"/>
  <c r="V181" i="538"/>
  <c r="U181" i="538"/>
  <c r="T181" i="538"/>
  <c r="S181" i="538"/>
  <c r="R181" i="538"/>
  <c r="Q181" i="538"/>
  <c r="V180" i="538"/>
  <c r="U180" i="538"/>
  <c r="T180" i="538"/>
  <c r="S180" i="538"/>
  <c r="R180" i="538"/>
  <c r="Q180" i="538"/>
  <c r="V179" i="538"/>
  <c r="U179" i="538"/>
  <c r="T179" i="538"/>
  <c r="S179" i="538"/>
  <c r="R179" i="538"/>
  <c r="Q179" i="538"/>
  <c r="V178" i="538"/>
  <c r="U178" i="538"/>
  <c r="T178" i="538"/>
  <c r="S178" i="538"/>
  <c r="R178" i="538"/>
  <c r="Q178" i="538"/>
  <c r="V177" i="538"/>
  <c r="U177" i="538"/>
  <c r="T177" i="538"/>
  <c r="S177" i="538"/>
  <c r="R177" i="538"/>
  <c r="Q177" i="538"/>
  <c r="V176" i="538"/>
  <c r="U176" i="538"/>
  <c r="T176" i="538"/>
  <c r="S176" i="538"/>
  <c r="R176" i="538"/>
  <c r="Q176" i="538"/>
  <c r="V175" i="538"/>
  <c r="U175" i="538"/>
  <c r="T175" i="538"/>
  <c r="S175" i="538"/>
  <c r="R175" i="538"/>
  <c r="Q175" i="538"/>
  <c r="V174" i="538"/>
  <c r="U174" i="538"/>
  <c r="T174" i="538"/>
  <c r="S174" i="538"/>
  <c r="R174" i="538"/>
  <c r="Q174" i="538"/>
  <c r="V173" i="538"/>
  <c r="U173" i="538"/>
  <c r="T173" i="538"/>
  <c r="S173" i="538"/>
  <c r="R173" i="538"/>
  <c r="Q173" i="538"/>
  <c r="V172" i="538"/>
  <c r="U172" i="538"/>
  <c r="T172" i="538"/>
  <c r="S172" i="538"/>
  <c r="R172" i="538"/>
  <c r="Q172" i="538"/>
  <c r="V171" i="538"/>
  <c r="U171" i="538"/>
  <c r="T171" i="538"/>
  <c r="S171" i="538"/>
  <c r="R171" i="538"/>
  <c r="Q171" i="538"/>
  <c r="V170" i="538"/>
  <c r="U170" i="538"/>
  <c r="T170" i="538"/>
  <c r="S170" i="538"/>
  <c r="R170" i="538"/>
  <c r="Q170" i="538"/>
  <c r="V169" i="538"/>
  <c r="U169" i="538"/>
  <c r="T169" i="538"/>
  <c r="S169" i="538"/>
  <c r="R169" i="538"/>
  <c r="Q169" i="538"/>
  <c r="V168" i="538"/>
  <c r="U168" i="538"/>
  <c r="T168" i="538"/>
  <c r="S168" i="538"/>
  <c r="R168" i="538"/>
  <c r="Q168" i="538"/>
  <c r="V167" i="538"/>
  <c r="U167" i="538"/>
  <c r="T167" i="538"/>
  <c r="S167" i="538"/>
  <c r="R167" i="538"/>
  <c r="Q167" i="538"/>
  <c r="V166" i="538"/>
  <c r="U166" i="538"/>
  <c r="T166" i="538"/>
  <c r="S166" i="538"/>
  <c r="R166" i="538"/>
  <c r="Q166" i="538"/>
  <c r="V165" i="538"/>
  <c r="U165" i="538"/>
  <c r="T165" i="538"/>
  <c r="S165" i="538"/>
  <c r="R165" i="538"/>
  <c r="Q165" i="538"/>
  <c r="V164" i="538"/>
  <c r="U164" i="538"/>
  <c r="T164" i="538"/>
  <c r="S164" i="538"/>
  <c r="R164" i="538"/>
  <c r="Q164" i="538"/>
  <c r="V163" i="538"/>
  <c r="U163" i="538"/>
  <c r="T163" i="538"/>
  <c r="S163" i="538"/>
  <c r="R163" i="538"/>
  <c r="Q163" i="538"/>
  <c r="V162" i="538"/>
  <c r="U162" i="538"/>
  <c r="T162" i="538"/>
  <c r="S162" i="538"/>
  <c r="R162" i="538"/>
  <c r="Q162" i="538"/>
  <c r="V161" i="538"/>
  <c r="U161" i="538"/>
  <c r="T161" i="538"/>
  <c r="S161" i="538"/>
  <c r="R161" i="538"/>
  <c r="Q161" i="538"/>
  <c r="V160" i="538"/>
  <c r="U160" i="538"/>
  <c r="T160" i="538"/>
  <c r="S160" i="538"/>
  <c r="R160" i="538"/>
  <c r="Q160" i="538"/>
  <c r="V159" i="538"/>
  <c r="U159" i="538"/>
  <c r="T159" i="538"/>
  <c r="S159" i="538"/>
  <c r="R159" i="538"/>
  <c r="Q159" i="538"/>
  <c r="V158" i="538"/>
  <c r="U158" i="538"/>
  <c r="T158" i="538"/>
  <c r="S158" i="538"/>
  <c r="R158" i="538"/>
  <c r="Q158" i="538"/>
  <c r="V157" i="538"/>
  <c r="U157" i="538"/>
  <c r="T157" i="538"/>
  <c r="S157" i="538"/>
  <c r="R157" i="538"/>
  <c r="Q157" i="538"/>
  <c r="V156" i="538"/>
  <c r="U156" i="538"/>
  <c r="T156" i="538"/>
  <c r="S156" i="538"/>
  <c r="R156" i="538"/>
  <c r="Q156" i="538"/>
  <c r="V155" i="538"/>
  <c r="U155" i="538"/>
  <c r="T155" i="538"/>
  <c r="S155" i="538"/>
  <c r="R155" i="538"/>
  <c r="Q155" i="538"/>
  <c r="V154" i="538"/>
  <c r="U154" i="538"/>
  <c r="T154" i="538"/>
  <c r="S154" i="538"/>
  <c r="R154" i="538"/>
  <c r="Q154" i="538"/>
  <c r="V153" i="538"/>
  <c r="U153" i="538"/>
  <c r="T153" i="538"/>
  <c r="S153" i="538"/>
  <c r="R153" i="538"/>
  <c r="Q153" i="538"/>
  <c r="V152" i="538"/>
  <c r="U152" i="538"/>
  <c r="T152" i="538"/>
  <c r="S152" i="538"/>
  <c r="R152" i="538"/>
  <c r="Q152" i="538"/>
  <c r="V151" i="538"/>
  <c r="U151" i="538"/>
  <c r="T151" i="538"/>
  <c r="S151" i="538"/>
  <c r="R151" i="538"/>
  <c r="Q151" i="538"/>
  <c r="V150" i="538"/>
  <c r="U150" i="538"/>
  <c r="T150" i="538"/>
  <c r="S150" i="538"/>
  <c r="R150" i="538"/>
  <c r="Q150" i="538"/>
  <c r="V149" i="538"/>
  <c r="U149" i="538"/>
  <c r="T149" i="538"/>
  <c r="S149" i="538"/>
  <c r="R149" i="538"/>
  <c r="Q149" i="538"/>
  <c r="V148" i="538"/>
  <c r="U148" i="538"/>
  <c r="T148" i="538"/>
  <c r="S148" i="538"/>
  <c r="R148" i="538"/>
  <c r="Q148" i="538"/>
  <c r="V147" i="538"/>
  <c r="U147" i="538"/>
  <c r="T147" i="538"/>
  <c r="S147" i="538"/>
  <c r="R147" i="538"/>
  <c r="Q147" i="538"/>
  <c r="V146" i="538"/>
  <c r="U146" i="538"/>
  <c r="T146" i="538"/>
  <c r="S146" i="538"/>
  <c r="R146" i="538"/>
  <c r="Q146" i="538"/>
  <c r="V145" i="538"/>
  <c r="U145" i="538"/>
  <c r="T145" i="538"/>
  <c r="S145" i="538"/>
  <c r="R145" i="538"/>
  <c r="Q145" i="538"/>
  <c r="V144" i="538"/>
  <c r="U144" i="538"/>
  <c r="T144" i="538"/>
  <c r="S144" i="538"/>
  <c r="R144" i="538"/>
  <c r="Q144" i="538"/>
  <c r="V143" i="538"/>
  <c r="U143" i="538"/>
  <c r="T143" i="538"/>
  <c r="S143" i="538"/>
  <c r="R143" i="538"/>
  <c r="Q143" i="538"/>
  <c r="V142" i="538"/>
  <c r="U142" i="538"/>
  <c r="T142" i="538"/>
  <c r="S142" i="538"/>
  <c r="R142" i="538"/>
  <c r="Q142" i="538"/>
  <c r="V141" i="538"/>
  <c r="U141" i="538"/>
  <c r="T141" i="538"/>
  <c r="S141" i="538"/>
  <c r="R141" i="538"/>
  <c r="Q141" i="538"/>
  <c r="V140" i="538"/>
  <c r="U140" i="538"/>
  <c r="T140" i="538"/>
  <c r="S140" i="538"/>
  <c r="R140" i="538"/>
  <c r="Q140" i="538"/>
  <c r="V139" i="538"/>
  <c r="U139" i="538"/>
  <c r="T139" i="538"/>
  <c r="S139" i="538"/>
  <c r="R139" i="538"/>
  <c r="Q139" i="538"/>
  <c r="V138" i="538"/>
  <c r="U138" i="538"/>
  <c r="T138" i="538"/>
  <c r="S138" i="538"/>
  <c r="R138" i="538"/>
  <c r="Q138" i="538"/>
  <c r="V137" i="538"/>
  <c r="U137" i="538"/>
  <c r="T137" i="538"/>
  <c r="S137" i="538"/>
  <c r="R137" i="538"/>
  <c r="Q137" i="538"/>
  <c r="V136" i="538"/>
  <c r="U136" i="538"/>
  <c r="T136" i="538"/>
  <c r="S136" i="538"/>
  <c r="R136" i="538"/>
  <c r="Q136" i="538"/>
  <c r="V135" i="538"/>
  <c r="U135" i="538"/>
  <c r="T135" i="538"/>
  <c r="S135" i="538"/>
  <c r="R135" i="538"/>
  <c r="Q135" i="538"/>
  <c r="V134" i="538"/>
  <c r="U134" i="538"/>
  <c r="T134" i="538"/>
  <c r="S134" i="538"/>
  <c r="R134" i="538"/>
  <c r="Q134" i="538"/>
  <c r="V133" i="538"/>
  <c r="U133" i="538"/>
  <c r="T133" i="538"/>
  <c r="S133" i="538"/>
  <c r="R133" i="538"/>
  <c r="Q133" i="538"/>
  <c r="V132" i="538"/>
  <c r="U132" i="538"/>
  <c r="T132" i="538"/>
  <c r="S132" i="538"/>
  <c r="R132" i="538"/>
  <c r="Q132" i="538"/>
  <c r="V131" i="538"/>
  <c r="U131" i="538"/>
  <c r="T131" i="538"/>
  <c r="S131" i="538"/>
  <c r="R131" i="538"/>
  <c r="Q131" i="538"/>
  <c r="V130" i="538"/>
  <c r="U130" i="538"/>
  <c r="T130" i="538"/>
  <c r="S130" i="538"/>
  <c r="R130" i="538"/>
  <c r="Q130" i="538"/>
  <c r="V129" i="538"/>
  <c r="U129" i="538"/>
  <c r="T129" i="538"/>
  <c r="S129" i="538"/>
  <c r="R129" i="538"/>
  <c r="Q129" i="538"/>
  <c r="V128" i="538"/>
  <c r="U128" i="538"/>
  <c r="T128" i="538"/>
  <c r="S128" i="538"/>
  <c r="R128" i="538"/>
  <c r="Q128" i="538"/>
  <c r="V127" i="538"/>
  <c r="U127" i="538"/>
  <c r="T127" i="538"/>
  <c r="S127" i="538"/>
  <c r="R127" i="538"/>
  <c r="Q127" i="538"/>
  <c r="V126" i="538"/>
  <c r="U126" i="538"/>
  <c r="T126" i="538"/>
  <c r="S126" i="538"/>
  <c r="R126" i="538"/>
  <c r="Q126" i="538"/>
  <c r="V125" i="538"/>
  <c r="U125" i="538"/>
  <c r="T125" i="538"/>
  <c r="S125" i="538"/>
  <c r="R125" i="538"/>
  <c r="Q125" i="538"/>
  <c r="V124" i="538"/>
  <c r="U124" i="538"/>
  <c r="T124" i="538"/>
  <c r="S124" i="538"/>
  <c r="R124" i="538"/>
  <c r="Q124" i="538"/>
  <c r="V123" i="538"/>
  <c r="U123" i="538"/>
  <c r="T123" i="538"/>
  <c r="S123" i="538"/>
  <c r="R123" i="538"/>
  <c r="Q123" i="538"/>
  <c r="V122" i="538"/>
  <c r="U122" i="538"/>
  <c r="T122" i="538"/>
  <c r="S122" i="538"/>
  <c r="R122" i="538"/>
  <c r="Q122" i="538"/>
  <c r="V121" i="538"/>
  <c r="U121" i="538"/>
  <c r="T121" i="538"/>
  <c r="S121" i="538"/>
  <c r="R121" i="538"/>
  <c r="Q121" i="538"/>
  <c r="V120" i="538"/>
  <c r="U120" i="538"/>
  <c r="T120" i="538"/>
  <c r="S120" i="538"/>
  <c r="R120" i="538"/>
  <c r="Q120" i="538"/>
  <c r="V119" i="538"/>
  <c r="U119" i="538"/>
  <c r="T119" i="538"/>
  <c r="S119" i="538"/>
  <c r="R119" i="538"/>
  <c r="Q119" i="538"/>
  <c r="V118" i="538"/>
  <c r="U118" i="538"/>
  <c r="T118" i="538"/>
  <c r="S118" i="538"/>
  <c r="R118" i="538"/>
  <c r="Q118" i="538"/>
  <c r="V117" i="538"/>
  <c r="U117" i="538"/>
  <c r="T117" i="538"/>
  <c r="S117" i="538"/>
  <c r="R117" i="538"/>
  <c r="Q117" i="538"/>
  <c r="V116" i="538"/>
  <c r="U116" i="538"/>
  <c r="T116" i="538"/>
  <c r="S116" i="538"/>
  <c r="R116" i="538"/>
  <c r="Q116" i="538"/>
  <c r="V115" i="538"/>
  <c r="U115" i="538"/>
  <c r="T115" i="538"/>
  <c r="S115" i="538"/>
  <c r="R115" i="538"/>
  <c r="Q115" i="538"/>
  <c r="V114" i="538"/>
  <c r="U114" i="538"/>
  <c r="T114" i="538"/>
  <c r="S114" i="538"/>
  <c r="R114" i="538"/>
  <c r="Q114" i="538"/>
  <c r="V113" i="538"/>
  <c r="U113" i="538"/>
  <c r="T113" i="538"/>
  <c r="S113" i="538"/>
  <c r="R113" i="538"/>
  <c r="Q113" i="538"/>
  <c r="V112" i="538"/>
  <c r="U112" i="538"/>
  <c r="T112" i="538"/>
  <c r="S112" i="538"/>
  <c r="R112" i="538"/>
  <c r="Q112" i="538"/>
  <c r="V111" i="538"/>
  <c r="U111" i="538"/>
  <c r="T111" i="538"/>
  <c r="S111" i="538"/>
  <c r="R111" i="538"/>
  <c r="Q111" i="538"/>
  <c r="V110" i="538"/>
  <c r="U110" i="538"/>
  <c r="T110" i="538"/>
  <c r="S110" i="538"/>
  <c r="R110" i="538"/>
  <c r="Q110" i="538"/>
  <c r="V109" i="538"/>
  <c r="U109" i="538"/>
  <c r="T109" i="538"/>
  <c r="S109" i="538"/>
  <c r="R109" i="538"/>
  <c r="Q109" i="538"/>
  <c r="V108" i="538"/>
  <c r="U108" i="538"/>
  <c r="T108" i="538"/>
  <c r="S108" i="538"/>
  <c r="R108" i="538"/>
  <c r="Q108" i="538"/>
  <c r="V107" i="538"/>
  <c r="U107" i="538"/>
  <c r="T107" i="538"/>
  <c r="S107" i="538"/>
  <c r="R107" i="538"/>
  <c r="Q107" i="538"/>
  <c r="V106" i="538"/>
  <c r="U106" i="538"/>
  <c r="T106" i="538"/>
  <c r="S106" i="538"/>
  <c r="R106" i="538"/>
  <c r="Q106" i="538"/>
  <c r="V105" i="538"/>
  <c r="U105" i="538"/>
  <c r="T105" i="538"/>
  <c r="S105" i="538"/>
  <c r="R105" i="538"/>
  <c r="Q105" i="538"/>
  <c r="V104" i="538"/>
  <c r="U104" i="538"/>
  <c r="T104" i="538"/>
  <c r="S104" i="538"/>
  <c r="R104" i="538"/>
  <c r="Q104" i="538"/>
  <c r="V103" i="538"/>
  <c r="U103" i="538"/>
  <c r="T103" i="538"/>
  <c r="S103" i="538"/>
  <c r="R103" i="538"/>
  <c r="Q103" i="538"/>
  <c r="V102" i="538"/>
  <c r="U102" i="538"/>
  <c r="T102" i="538"/>
  <c r="S102" i="538"/>
  <c r="R102" i="538"/>
  <c r="Q102" i="538"/>
  <c r="V101" i="538"/>
  <c r="U101" i="538"/>
  <c r="T101" i="538"/>
  <c r="S101" i="538"/>
  <c r="R101" i="538"/>
  <c r="Q101" i="538"/>
  <c r="V100" i="538"/>
  <c r="U100" i="538"/>
  <c r="T100" i="538"/>
  <c r="S100" i="538"/>
  <c r="R100" i="538"/>
  <c r="Q100" i="538"/>
  <c r="V99" i="538"/>
  <c r="U99" i="538"/>
  <c r="T99" i="538"/>
  <c r="S99" i="538"/>
  <c r="R99" i="538"/>
  <c r="Q99" i="538"/>
  <c r="V98" i="538"/>
  <c r="U98" i="538"/>
  <c r="T98" i="538"/>
  <c r="S98" i="538"/>
  <c r="R98" i="538"/>
  <c r="Q98" i="538"/>
  <c r="V97" i="538"/>
  <c r="U97" i="538"/>
  <c r="T97" i="538"/>
  <c r="S97" i="538"/>
  <c r="R97" i="538"/>
  <c r="Q97" i="538"/>
  <c r="V96" i="538"/>
  <c r="U96" i="538"/>
  <c r="T96" i="538"/>
  <c r="S96" i="538"/>
  <c r="R96" i="538"/>
  <c r="Q96" i="538"/>
  <c r="V95" i="538"/>
  <c r="U95" i="538"/>
  <c r="T95" i="538"/>
  <c r="S95" i="538"/>
  <c r="R95" i="538"/>
  <c r="Q95" i="538"/>
  <c r="V94" i="538"/>
  <c r="U94" i="538"/>
  <c r="T94" i="538"/>
  <c r="S94" i="538"/>
  <c r="R94" i="538"/>
  <c r="Q94" i="538"/>
  <c r="V93" i="538"/>
  <c r="U93" i="538"/>
  <c r="T93" i="538"/>
  <c r="S93" i="538"/>
  <c r="R93" i="538"/>
  <c r="Q93" i="538"/>
  <c r="V92" i="538"/>
  <c r="U92" i="538"/>
  <c r="T92" i="538"/>
  <c r="S92" i="538"/>
  <c r="R92" i="538"/>
  <c r="Q92" i="538"/>
  <c r="V91" i="538"/>
  <c r="U91" i="538"/>
  <c r="T91" i="538"/>
  <c r="S91" i="538"/>
  <c r="R91" i="538"/>
  <c r="Q91" i="538"/>
  <c r="V90" i="538"/>
  <c r="U90" i="538"/>
  <c r="T90" i="538"/>
  <c r="S90" i="538"/>
  <c r="R90" i="538"/>
  <c r="Q90" i="538"/>
  <c r="V89" i="538"/>
  <c r="U89" i="538"/>
  <c r="T89" i="538"/>
  <c r="S89" i="538"/>
  <c r="R89" i="538"/>
  <c r="Q89" i="538"/>
  <c r="V88" i="538"/>
  <c r="U88" i="538"/>
  <c r="T88" i="538"/>
  <c r="S88" i="538"/>
  <c r="R88" i="538"/>
  <c r="Q88" i="538"/>
  <c r="V87" i="538"/>
  <c r="U87" i="538"/>
  <c r="T87" i="538"/>
  <c r="S87" i="538"/>
  <c r="R87" i="538"/>
  <c r="Q87" i="538"/>
  <c r="V86" i="538"/>
  <c r="U86" i="538"/>
  <c r="T86" i="538"/>
  <c r="S86" i="538"/>
  <c r="R86" i="538"/>
  <c r="Q86" i="538"/>
  <c r="V85" i="538"/>
  <c r="U85" i="538"/>
  <c r="T85" i="538"/>
  <c r="S85" i="538"/>
  <c r="R85" i="538"/>
  <c r="Q85" i="538"/>
  <c r="V84" i="538"/>
  <c r="U84" i="538"/>
  <c r="T84" i="538"/>
  <c r="S84" i="538"/>
  <c r="R84" i="538"/>
  <c r="Q84" i="538"/>
  <c r="V83" i="538"/>
  <c r="U83" i="538"/>
  <c r="T83" i="538"/>
  <c r="S83" i="538"/>
  <c r="R83" i="538"/>
  <c r="Q83" i="538"/>
  <c r="V82" i="538"/>
  <c r="U82" i="538"/>
  <c r="T82" i="538"/>
  <c r="S82" i="538"/>
  <c r="R82" i="538"/>
  <c r="Q82" i="538"/>
  <c r="V81" i="538"/>
  <c r="U81" i="538"/>
  <c r="T81" i="538"/>
  <c r="S81" i="538"/>
  <c r="R81" i="538"/>
  <c r="Q81" i="538"/>
  <c r="V80" i="538"/>
  <c r="U80" i="538"/>
  <c r="T80" i="538"/>
  <c r="S80" i="538"/>
  <c r="R80" i="538"/>
  <c r="Q80" i="538"/>
  <c r="V79" i="538"/>
  <c r="U79" i="538"/>
  <c r="T79" i="538"/>
  <c r="S79" i="538"/>
  <c r="R79" i="538"/>
  <c r="Q79" i="538"/>
  <c r="V78" i="538"/>
  <c r="U78" i="538"/>
  <c r="T78" i="538"/>
  <c r="S78" i="538"/>
  <c r="R78" i="538"/>
  <c r="Q78" i="538"/>
  <c r="V77" i="538"/>
  <c r="U77" i="538"/>
  <c r="T77" i="538"/>
  <c r="S77" i="538"/>
  <c r="R77" i="538"/>
  <c r="Q77" i="538"/>
  <c r="V76" i="538"/>
  <c r="U76" i="538"/>
  <c r="T76" i="538"/>
  <c r="S76" i="538"/>
  <c r="R76" i="538"/>
  <c r="Q76" i="538"/>
  <c r="V75" i="538"/>
  <c r="U75" i="538"/>
  <c r="T75" i="538"/>
  <c r="S75" i="538"/>
  <c r="R75" i="538"/>
  <c r="Q75" i="538"/>
  <c r="V74" i="538"/>
  <c r="U74" i="538"/>
  <c r="T74" i="538"/>
  <c r="S74" i="538"/>
  <c r="R74" i="538"/>
  <c r="Q74" i="538"/>
  <c r="V73" i="538"/>
  <c r="U73" i="538"/>
  <c r="T73" i="538"/>
  <c r="S73" i="538"/>
  <c r="R73" i="538"/>
  <c r="Q73" i="538"/>
  <c r="V72" i="538"/>
  <c r="U72" i="538"/>
  <c r="T72" i="538"/>
  <c r="S72" i="538"/>
  <c r="R72" i="538"/>
  <c r="Q72" i="538"/>
  <c r="V71" i="538"/>
  <c r="U71" i="538"/>
  <c r="T71" i="538"/>
  <c r="S71" i="538"/>
  <c r="R71" i="538"/>
  <c r="Q71" i="538"/>
  <c r="V70" i="538"/>
  <c r="U70" i="538"/>
  <c r="T70" i="538"/>
  <c r="S70" i="538"/>
  <c r="R70" i="538"/>
  <c r="Q70" i="538"/>
  <c r="V69" i="538"/>
  <c r="U69" i="538"/>
  <c r="T69" i="538"/>
  <c r="S69" i="538"/>
  <c r="R69" i="538"/>
  <c r="Q69" i="538"/>
  <c r="V68" i="538"/>
  <c r="U68" i="538"/>
  <c r="T68" i="538"/>
  <c r="S68" i="538"/>
  <c r="R68" i="538"/>
  <c r="Q68" i="538"/>
  <c r="V67" i="538"/>
  <c r="U67" i="538"/>
  <c r="T67" i="538"/>
  <c r="S67" i="538"/>
  <c r="R67" i="538"/>
  <c r="Q67" i="538"/>
  <c r="V66" i="538"/>
  <c r="U66" i="538"/>
  <c r="T66" i="538"/>
  <c r="S66" i="538"/>
  <c r="R66" i="538"/>
  <c r="Q66" i="538"/>
  <c r="V65" i="538"/>
  <c r="U65" i="538"/>
  <c r="T65" i="538"/>
  <c r="S65" i="538"/>
  <c r="R65" i="538"/>
  <c r="Q65" i="538"/>
  <c r="V64" i="538"/>
  <c r="U64" i="538"/>
  <c r="T64" i="538"/>
  <c r="S64" i="538"/>
  <c r="R64" i="538"/>
  <c r="Q64" i="538"/>
  <c r="V63" i="538"/>
  <c r="U63" i="538"/>
  <c r="T63" i="538"/>
  <c r="S63" i="538"/>
  <c r="R63" i="538"/>
  <c r="Q63" i="538"/>
  <c r="V62" i="538"/>
  <c r="U62" i="538"/>
  <c r="T62" i="538"/>
  <c r="S62" i="538"/>
  <c r="R62" i="538"/>
  <c r="Q62" i="538"/>
  <c r="V61" i="538"/>
  <c r="U61" i="538"/>
  <c r="T61" i="538"/>
  <c r="S61" i="538"/>
  <c r="R61" i="538"/>
  <c r="Q61" i="538"/>
  <c r="V60" i="538"/>
  <c r="U60" i="538"/>
  <c r="T60" i="538"/>
  <c r="S60" i="538"/>
  <c r="R60" i="538"/>
  <c r="Q60" i="538"/>
  <c r="V59" i="538"/>
  <c r="U59" i="538"/>
  <c r="T59" i="538"/>
  <c r="S59" i="538"/>
  <c r="R59" i="538"/>
  <c r="Q59" i="538"/>
  <c r="V58" i="538"/>
  <c r="U58" i="538"/>
  <c r="T58" i="538"/>
  <c r="S58" i="538"/>
  <c r="R58" i="538"/>
  <c r="Q58" i="538"/>
  <c r="V57" i="538"/>
  <c r="U57" i="538"/>
  <c r="T57" i="538"/>
  <c r="S57" i="538"/>
  <c r="R57" i="538"/>
  <c r="Q57" i="538"/>
  <c r="V56" i="538"/>
  <c r="U56" i="538"/>
  <c r="T56" i="538"/>
  <c r="S56" i="538"/>
  <c r="R56" i="538"/>
  <c r="Q56" i="538"/>
  <c r="V55" i="538"/>
  <c r="U55" i="538"/>
  <c r="T55" i="538"/>
  <c r="S55" i="538"/>
  <c r="R55" i="538"/>
  <c r="Q55" i="538"/>
  <c r="V54" i="538"/>
  <c r="U54" i="538"/>
  <c r="T54" i="538"/>
  <c r="S54" i="538"/>
  <c r="R54" i="538"/>
  <c r="Q54" i="538"/>
  <c r="V53" i="538"/>
  <c r="U53" i="538"/>
  <c r="T53" i="538"/>
  <c r="S53" i="538"/>
  <c r="R53" i="538"/>
  <c r="Q53" i="538"/>
  <c r="V52" i="538"/>
  <c r="U52" i="538"/>
  <c r="T52" i="538"/>
  <c r="S52" i="538"/>
  <c r="R52" i="538"/>
  <c r="Q52" i="538"/>
  <c r="V51" i="538"/>
  <c r="U51" i="538"/>
  <c r="T51" i="538"/>
  <c r="S51" i="538"/>
  <c r="R51" i="538"/>
  <c r="Q51" i="538"/>
  <c r="V50" i="538"/>
  <c r="U50" i="538"/>
  <c r="T50" i="538"/>
  <c r="S50" i="538"/>
  <c r="R50" i="538"/>
  <c r="Q50" i="538"/>
  <c r="V49" i="538"/>
  <c r="U49" i="538"/>
  <c r="T49" i="538"/>
  <c r="S49" i="538"/>
  <c r="R49" i="538"/>
  <c r="Q49" i="538"/>
  <c r="V48" i="538"/>
  <c r="U48" i="538"/>
  <c r="T48" i="538"/>
  <c r="S48" i="538"/>
  <c r="R48" i="538"/>
  <c r="Q48" i="538"/>
  <c r="V47" i="538"/>
  <c r="U47" i="538"/>
  <c r="T47" i="538"/>
  <c r="S47" i="538"/>
  <c r="R47" i="538"/>
  <c r="Q47" i="538"/>
  <c r="V46" i="538"/>
  <c r="U46" i="538"/>
  <c r="T46" i="538"/>
  <c r="S46" i="538"/>
  <c r="R46" i="538"/>
  <c r="Q46" i="538"/>
  <c r="V45" i="538"/>
  <c r="U45" i="538"/>
  <c r="T45" i="538"/>
  <c r="S45" i="538"/>
  <c r="R45" i="538"/>
  <c r="Q45" i="538"/>
  <c r="V44" i="538"/>
  <c r="U44" i="538"/>
  <c r="T44" i="538"/>
  <c r="S44" i="538"/>
  <c r="R44" i="538"/>
  <c r="Q44" i="538"/>
  <c r="V43" i="538"/>
  <c r="U43" i="538"/>
  <c r="T43" i="538"/>
  <c r="S43" i="538"/>
  <c r="R43" i="538"/>
  <c r="Q43" i="538"/>
  <c r="V42" i="538"/>
  <c r="U42" i="538"/>
  <c r="T42" i="538"/>
  <c r="S42" i="538"/>
  <c r="R42" i="538"/>
  <c r="Q42" i="538"/>
  <c r="V41" i="538"/>
  <c r="U41" i="538"/>
  <c r="T41" i="538"/>
  <c r="S41" i="538"/>
  <c r="R41" i="538"/>
  <c r="Q41" i="538"/>
  <c r="V40" i="538"/>
  <c r="U40" i="538"/>
  <c r="T40" i="538"/>
  <c r="S40" i="538"/>
  <c r="R40" i="538"/>
  <c r="Q40" i="538"/>
  <c r="V39" i="538"/>
  <c r="U39" i="538"/>
  <c r="T39" i="538"/>
  <c r="S39" i="538"/>
  <c r="R39" i="538"/>
  <c r="Q39" i="538"/>
  <c r="V38" i="538"/>
  <c r="U38" i="538"/>
  <c r="T38" i="538"/>
  <c r="S38" i="538"/>
  <c r="R38" i="538"/>
  <c r="Q38" i="538"/>
  <c r="V37" i="538"/>
  <c r="U37" i="538"/>
  <c r="T37" i="538"/>
  <c r="S37" i="538"/>
  <c r="R37" i="538"/>
  <c r="Q37" i="538"/>
  <c r="V36" i="538"/>
  <c r="U36" i="538"/>
  <c r="T36" i="538"/>
  <c r="S36" i="538"/>
  <c r="R36" i="538"/>
  <c r="Q36" i="538"/>
  <c r="V35" i="538"/>
  <c r="U35" i="538"/>
  <c r="T35" i="538"/>
  <c r="S35" i="538"/>
  <c r="R35" i="538"/>
  <c r="Q35" i="538"/>
  <c r="V34" i="538"/>
  <c r="U34" i="538"/>
  <c r="T34" i="538"/>
  <c r="S34" i="538"/>
  <c r="R34" i="538"/>
  <c r="Q34" i="538"/>
  <c r="V33" i="538"/>
  <c r="U33" i="538"/>
  <c r="T33" i="538"/>
  <c r="S33" i="538"/>
  <c r="R33" i="538"/>
  <c r="Q33" i="538"/>
  <c r="V32" i="538"/>
  <c r="U32" i="538"/>
  <c r="T32" i="538"/>
  <c r="S32" i="538"/>
  <c r="R32" i="538"/>
  <c r="Q32" i="538"/>
  <c r="V31" i="538"/>
  <c r="U31" i="538"/>
  <c r="T31" i="538"/>
  <c r="S31" i="538"/>
  <c r="R31" i="538"/>
  <c r="Q31" i="538"/>
  <c r="V30" i="538"/>
  <c r="U30" i="538"/>
  <c r="T30" i="538"/>
  <c r="S30" i="538"/>
  <c r="R30" i="538"/>
  <c r="Q30" i="538"/>
  <c r="V29" i="538"/>
  <c r="U29" i="538"/>
  <c r="T29" i="538"/>
  <c r="S29" i="538"/>
  <c r="R29" i="538"/>
  <c r="Q29" i="538"/>
  <c r="V28" i="538"/>
  <c r="U28" i="538"/>
  <c r="T28" i="538"/>
  <c r="S28" i="538"/>
  <c r="R28" i="538"/>
  <c r="Q28" i="538"/>
  <c r="V27" i="538"/>
  <c r="U27" i="538"/>
  <c r="T27" i="538"/>
  <c r="S27" i="538"/>
  <c r="R27" i="538"/>
  <c r="Q27" i="538"/>
  <c r="V26" i="538"/>
  <c r="U26" i="538"/>
  <c r="T26" i="538"/>
  <c r="S26" i="538"/>
  <c r="R26" i="538"/>
  <c r="Q26" i="538"/>
  <c r="V25" i="538"/>
  <c r="U25" i="538"/>
  <c r="T25" i="538"/>
  <c r="S25" i="538"/>
  <c r="R25" i="538"/>
  <c r="Q25" i="538"/>
  <c r="V24" i="538"/>
  <c r="U24" i="538"/>
  <c r="T24" i="538"/>
  <c r="S24" i="538"/>
  <c r="R24" i="538"/>
  <c r="Q24" i="538"/>
  <c r="V23" i="538"/>
  <c r="U23" i="538"/>
  <c r="T23" i="538"/>
  <c r="S23" i="538"/>
  <c r="R23" i="538"/>
  <c r="Q23" i="538"/>
  <c r="V22" i="538"/>
  <c r="U22" i="538"/>
  <c r="T22" i="538"/>
  <c r="S22" i="538"/>
  <c r="R22" i="538"/>
  <c r="Q22" i="538"/>
  <c r="V21" i="538"/>
  <c r="U21" i="538"/>
  <c r="T21" i="538"/>
  <c r="S21" i="538"/>
  <c r="R21" i="538"/>
  <c r="Q21" i="538"/>
  <c r="V20" i="538"/>
  <c r="U20" i="538"/>
  <c r="T20" i="538"/>
  <c r="S20" i="538"/>
  <c r="R20" i="538"/>
  <c r="Q20" i="538"/>
  <c r="V19" i="538"/>
  <c r="U19" i="538"/>
  <c r="T19" i="538"/>
  <c r="S19" i="538"/>
  <c r="R19" i="538"/>
  <c r="Q19" i="538"/>
  <c r="V18" i="538"/>
  <c r="U18" i="538"/>
  <c r="T18" i="538"/>
  <c r="S18" i="538"/>
  <c r="R18" i="538"/>
  <c r="Q18" i="538"/>
  <c r="V17" i="538"/>
  <c r="U17" i="538"/>
  <c r="T17" i="538"/>
  <c r="S17" i="538"/>
  <c r="R17" i="538"/>
  <c r="Q17" i="538"/>
  <c r="V16" i="538"/>
  <c r="U16" i="538"/>
  <c r="T16" i="538"/>
  <c r="S16" i="538"/>
  <c r="R16" i="538"/>
  <c r="Q16" i="538"/>
  <c r="V15" i="538"/>
  <c r="U15" i="538"/>
  <c r="T15" i="538"/>
  <c r="S15" i="538"/>
  <c r="R15" i="538"/>
  <c r="Q15" i="538"/>
  <c r="V14" i="538"/>
  <c r="U14" i="538"/>
  <c r="T14" i="538"/>
  <c r="S14" i="538"/>
  <c r="R14" i="538"/>
  <c r="Q14" i="538"/>
  <c r="V13" i="538"/>
  <c r="U13" i="538"/>
  <c r="T13" i="538"/>
  <c r="S13" i="538"/>
  <c r="R13" i="538"/>
  <c r="Q13" i="538"/>
  <c r="V12" i="538"/>
  <c r="U12" i="538"/>
  <c r="T12" i="538"/>
  <c r="S12" i="538"/>
  <c r="R12" i="538"/>
  <c r="Q12" i="538"/>
  <c r="V11" i="538"/>
  <c r="U11" i="538"/>
  <c r="T11" i="538"/>
  <c r="S11" i="538"/>
  <c r="R11" i="538"/>
  <c r="Q11" i="538"/>
  <c r="V10" i="538"/>
  <c r="U10" i="538"/>
  <c r="T10" i="538"/>
  <c r="S10" i="538"/>
  <c r="R10" i="538"/>
  <c r="Q10" i="538"/>
  <c r="V9" i="538"/>
  <c r="U9" i="538"/>
  <c r="T9" i="538"/>
  <c r="S9" i="538"/>
  <c r="R9" i="538"/>
  <c r="Q9" i="538"/>
  <c r="V8" i="538"/>
  <c r="U8" i="538"/>
  <c r="T8" i="538"/>
  <c r="S8" i="538"/>
  <c r="R8" i="538"/>
  <c r="Q8" i="538"/>
  <c r="V7" i="538"/>
  <c r="U7" i="538"/>
  <c r="T7" i="538"/>
  <c r="S7" i="538"/>
  <c r="R7" i="538"/>
  <c r="Q7" i="538"/>
  <c r="V6" i="538"/>
  <c r="U6" i="538"/>
  <c r="T6" i="538"/>
  <c r="S6" i="538"/>
  <c r="R6" i="538"/>
  <c r="Q6" i="538"/>
  <c r="V5" i="538"/>
  <c r="U5" i="538"/>
  <c r="T5" i="538"/>
  <c r="S5" i="538"/>
  <c r="R5" i="538"/>
  <c r="Q5" i="538"/>
  <c r="V4" i="538"/>
  <c r="U4" i="538"/>
  <c r="T4" i="538"/>
  <c r="S4" i="538"/>
  <c r="R4" i="538"/>
  <c r="Q4" i="538"/>
  <c r="V3" i="538"/>
  <c r="U3" i="538"/>
  <c r="T3" i="538"/>
  <c r="S3" i="538"/>
  <c r="R3" i="538"/>
  <c r="Q3" i="538"/>
  <c r="V2" i="538"/>
  <c r="U2" i="538"/>
  <c r="T2" i="538"/>
  <c r="S2" i="538"/>
  <c r="R2" i="538"/>
  <c r="Q2" i="538"/>
  <c r="S1" i="538"/>
  <c r="R1" i="538"/>
  <c r="E4" i="535" l="1"/>
  <c r="I4" i="535" s="1"/>
  <c r="D4" i="535"/>
  <c r="C4" i="535"/>
  <c r="B4" i="535"/>
  <c r="E3" i="535"/>
  <c r="I3" i="535" s="1"/>
  <c r="D3" i="535"/>
  <c r="H3" i="535" s="1"/>
  <c r="C3" i="535"/>
  <c r="G3" i="535" s="1"/>
  <c r="B3" i="535"/>
  <c r="M126" i="534"/>
  <c r="H126" i="534"/>
  <c r="E126" i="534"/>
  <c r="E62" i="534"/>
  <c r="F4" i="535" l="1"/>
  <c r="G4" i="535"/>
  <c r="J3" i="535"/>
  <c r="H4" i="535"/>
  <c r="J4" i="535" s="1"/>
  <c r="F3" i="535"/>
  <c r="A21" i="532" l="1"/>
  <c r="G21" i="532" s="1"/>
  <c r="B21" i="532" l="1"/>
  <c r="J21" i="532"/>
  <c r="H21" i="532"/>
  <c r="I21" i="532"/>
  <c r="C21" i="532"/>
  <c r="K21" i="532"/>
  <c r="A20" i="532"/>
  <c r="D21" i="532"/>
  <c r="L21" i="532"/>
  <c r="E21" i="532"/>
  <c r="M21" i="532"/>
  <c r="F21" i="532"/>
  <c r="L20" i="532" l="1"/>
  <c r="D20" i="532"/>
  <c r="A19" i="532"/>
  <c r="K20" i="532"/>
  <c r="C20" i="532"/>
  <c r="J20" i="532"/>
  <c r="B20" i="532"/>
  <c r="I20" i="532"/>
  <c r="H20" i="532"/>
  <c r="F20" i="532"/>
  <c r="M20" i="532"/>
  <c r="E20" i="532"/>
  <c r="G20" i="532"/>
  <c r="I19" i="532" l="1"/>
  <c r="H19" i="532"/>
  <c r="A18" i="532"/>
  <c r="G19" i="532"/>
  <c r="F19" i="532"/>
  <c r="D19" i="532"/>
  <c r="M19" i="532"/>
  <c r="E19" i="532"/>
  <c r="K19" i="532"/>
  <c r="C19" i="532"/>
  <c r="L19" i="532"/>
  <c r="J19" i="532"/>
  <c r="B19" i="532"/>
  <c r="F18" i="532" l="1"/>
  <c r="M18" i="532"/>
  <c r="E18" i="532"/>
  <c r="L18" i="532"/>
  <c r="D18" i="532"/>
  <c r="A17" i="532"/>
  <c r="K18" i="532"/>
  <c r="C18" i="532"/>
  <c r="J18" i="532"/>
  <c r="B18" i="532"/>
  <c r="H18" i="532"/>
  <c r="G18" i="532"/>
  <c r="I18" i="532"/>
  <c r="K17" i="532" l="1"/>
  <c r="C17" i="532"/>
  <c r="J17" i="532"/>
  <c r="B17" i="532"/>
  <c r="I17" i="532"/>
  <c r="H17" i="532"/>
  <c r="G17" i="532"/>
  <c r="M17" i="532"/>
  <c r="E17" i="532"/>
  <c r="L17" i="532"/>
  <c r="D17" i="532"/>
  <c r="A16" i="532"/>
  <c r="F17" i="532"/>
  <c r="H16" i="532" l="1"/>
  <c r="G16" i="532"/>
  <c r="F16" i="532"/>
  <c r="M16" i="532"/>
  <c r="E16" i="532"/>
  <c r="K16" i="532"/>
  <c r="L16" i="532"/>
  <c r="D16" i="532"/>
  <c r="A15" i="532"/>
  <c r="J16" i="532"/>
  <c r="B16" i="532"/>
  <c r="I16" i="532"/>
  <c r="C16" i="532"/>
  <c r="M15" i="532" l="1"/>
  <c r="E15" i="532"/>
  <c r="L15" i="532"/>
  <c r="D15" i="532"/>
  <c r="A14" i="532"/>
  <c r="K15" i="532"/>
  <c r="C15" i="532"/>
  <c r="J15" i="532"/>
  <c r="B15" i="532"/>
  <c r="H15" i="532"/>
  <c r="I15" i="532"/>
  <c r="G15" i="532"/>
  <c r="F15" i="532"/>
  <c r="J14" i="532" l="1"/>
  <c r="B14" i="532"/>
  <c r="I14" i="532"/>
  <c r="H14" i="532"/>
  <c r="G14" i="532"/>
  <c r="E14" i="532"/>
  <c r="F14" i="532"/>
  <c r="L14" i="532"/>
  <c r="D14" i="532"/>
  <c r="A13" i="532"/>
  <c r="K14" i="532"/>
  <c r="C14" i="532"/>
  <c r="M14" i="532"/>
  <c r="G13" i="532" l="1"/>
  <c r="F13" i="532"/>
  <c r="M13" i="532"/>
  <c r="E13" i="532"/>
  <c r="L13" i="532"/>
  <c r="D13" i="532"/>
  <c r="A12" i="532"/>
  <c r="K13" i="532"/>
  <c r="C13" i="532"/>
  <c r="I13" i="532"/>
  <c r="B13" i="532"/>
  <c r="H13" i="532"/>
  <c r="J13" i="532"/>
  <c r="L12" i="532" l="1"/>
  <c r="D12" i="532"/>
  <c r="A11" i="532"/>
  <c r="K12" i="532"/>
  <c r="C12" i="532"/>
  <c r="J12" i="532"/>
  <c r="B12" i="532"/>
  <c r="I12" i="532"/>
  <c r="H12" i="532"/>
  <c r="F12" i="532"/>
  <c r="M12" i="532"/>
  <c r="E12" i="532"/>
  <c r="G12" i="532"/>
  <c r="I11" i="532" l="1"/>
  <c r="H11" i="532"/>
  <c r="D11" i="532"/>
  <c r="G11" i="532"/>
  <c r="F11" i="532"/>
  <c r="L11" i="532"/>
  <c r="A10" i="532"/>
  <c r="M11" i="532"/>
  <c r="E11" i="532"/>
  <c r="K11" i="532"/>
  <c r="C11" i="532"/>
  <c r="J11" i="532"/>
  <c r="B11" i="532"/>
  <c r="F10" i="532" l="1"/>
  <c r="M10" i="532"/>
  <c r="E10" i="532"/>
  <c r="L10" i="532"/>
  <c r="D10" i="532"/>
  <c r="A9" i="532"/>
  <c r="K10" i="532"/>
  <c r="C10" i="532"/>
  <c r="J10" i="532"/>
  <c r="B10" i="532"/>
  <c r="H10" i="532"/>
  <c r="G10" i="532"/>
  <c r="I10" i="532"/>
  <c r="K9" i="532" l="1"/>
  <c r="C9" i="532"/>
  <c r="J9" i="532"/>
  <c r="B9" i="532"/>
  <c r="I9" i="532"/>
  <c r="H9" i="532"/>
  <c r="G9" i="532"/>
  <c r="M9" i="532"/>
  <c r="E9" i="532"/>
  <c r="F9" i="532"/>
  <c r="L9" i="532"/>
  <c r="D9" i="532"/>
  <c r="A8" i="532"/>
  <c r="H8" i="532" l="1"/>
  <c r="G8" i="532"/>
  <c r="F8" i="532"/>
  <c r="M8" i="532"/>
  <c r="E8" i="532"/>
  <c r="C8" i="532"/>
  <c r="L8" i="532"/>
  <c r="D8" i="532"/>
  <c r="A7" i="532"/>
  <c r="J8" i="532"/>
  <c r="B8" i="532"/>
  <c r="I8" i="532"/>
  <c r="K8" i="532"/>
  <c r="M7" i="532" l="1"/>
  <c r="E7" i="532"/>
  <c r="L7" i="532"/>
  <c r="D7" i="532"/>
  <c r="A6" i="532"/>
  <c r="K7" i="532"/>
  <c r="C7" i="532"/>
  <c r="J7" i="532"/>
  <c r="B7" i="532"/>
  <c r="I7" i="532"/>
  <c r="G7" i="532"/>
  <c r="F7" i="532"/>
  <c r="H7" i="532"/>
  <c r="J6" i="532" l="1"/>
  <c r="B6" i="532"/>
  <c r="I6" i="532"/>
  <c r="E6" i="532"/>
  <c r="H6" i="532"/>
  <c r="G6" i="532"/>
  <c r="M6" i="532"/>
  <c r="F6" i="532"/>
  <c r="L6" i="532"/>
  <c r="D6" i="532"/>
  <c r="A5" i="532"/>
  <c r="K6" i="532"/>
  <c r="C6" i="532"/>
  <c r="G5" i="532" l="1"/>
  <c r="F5" i="532"/>
  <c r="M5" i="532"/>
  <c r="E5" i="532"/>
  <c r="L5" i="532"/>
  <c r="D5" i="532"/>
  <c r="A4" i="532"/>
  <c r="K5" i="532"/>
  <c r="C5" i="532"/>
  <c r="I5" i="532"/>
  <c r="J5" i="532"/>
  <c r="H5" i="532"/>
  <c r="B5" i="532"/>
  <c r="L4" i="532" l="1"/>
  <c r="D4" i="532"/>
  <c r="A3" i="532"/>
  <c r="C4" i="532"/>
  <c r="J4" i="532"/>
  <c r="B4" i="532"/>
  <c r="I4" i="532"/>
  <c r="G4" i="532"/>
  <c r="H4" i="532"/>
  <c r="F4" i="532"/>
  <c r="M4" i="532"/>
  <c r="E4" i="532"/>
  <c r="K4" i="532"/>
  <c r="I3" i="532" l="1"/>
  <c r="G3" i="532"/>
  <c r="F3" i="532"/>
  <c r="D3" i="532"/>
  <c r="M3" i="532"/>
  <c r="E3" i="532"/>
  <c r="K3" i="532"/>
  <c r="C3" i="532"/>
  <c r="J3" i="532"/>
  <c r="B3" i="532"/>
  <c r="H3" i="532"/>
  <c r="L3" i="532"/>
</calcChain>
</file>

<file path=xl/sharedStrings.xml><?xml version="1.0" encoding="utf-8"?>
<sst xmlns="http://schemas.openxmlformats.org/spreadsheetml/2006/main" count="4910" uniqueCount="1102">
  <si>
    <t>编辑</t>
  </si>
  <si>
    <t>分组</t>
  </si>
  <si>
    <t>热推</t>
  </si>
  <si>
    <t>日期</t>
  </si>
  <si>
    <t>发送类型</t>
  </si>
  <si>
    <t>展示人数</t>
  </si>
  <si>
    <t>打开人数</t>
  </si>
  <si>
    <t>uv打开率</t>
  </si>
  <si>
    <t>展示次数</t>
  </si>
  <si>
    <t>打开次数</t>
  </si>
  <si>
    <t>pv打开率</t>
  </si>
  <si>
    <t>人均展示次数</t>
  </si>
  <si>
    <t>首启用户数</t>
  </si>
  <si>
    <t>all</t>
  </si>
  <si>
    <t>独立打开uv</t>
  </si>
  <si>
    <t>全量</t>
  </si>
  <si>
    <t>个性化实时</t>
  </si>
  <si>
    <t>本地实时</t>
  </si>
  <si>
    <t>个性化非实时</t>
  </si>
  <si>
    <t>精编</t>
  </si>
  <si>
    <t>非精编</t>
  </si>
  <si>
    <t>other</t>
  </si>
  <si>
    <t>平台</t>
  </si>
  <si>
    <t>Android</t>
  </si>
  <si>
    <t>Android去除华为</t>
  </si>
  <si>
    <t>厂商</t>
  </si>
  <si>
    <t>华为</t>
  </si>
  <si>
    <t>小米</t>
  </si>
  <si>
    <t>OPPO</t>
  </si>
  <si>
    <t>VIVO</t>
  </si>
  <si>
    <t>三星</t>
  </si>
  <si>
    <t>标题</t>
  </si>
  <si>
    <t>docId或者链接</t>
  </si>
  <si>
    <t>创建时间</t>
  </si>
  <si>
    <t>类型</t>
  </si>
  <si>
    <t>突发性</t>
  </si>
  <si>
    <t>城市</t>
  </si>
  <si>
    <t>屏蔽</t>
  </si>
  <si>
    <t>首启用户数（离线数据）</t>
  </si>
  <si>
    <t>独立打开用户数</t>
  </si>
  <si>
    <t>过滤用户</t>
  </si>
  <si>
    <t>过滤客户端活跃</t>
  </si>
  <si>
    <t>总发送量</t>
  </si>
  <si>
    <t>总展示量</t>
  </si>
  <si>
    <t>总打开量</t>
  </si>
  <si>
    <t>总打开率</t>
  </si>
  <si>
    <t>默认</t>
  </si>
  <si>
    <t>不过滤</t>
  </si>
  <si>
    <t>文章类型</t>
  </si>
  <si>
    <t>频道</t>
  </si>
  <si>
    <t>分类</t>
  </si>
  <si>
    <t>地区</t>
  </si>
  <si>
    <t>推送形式</t>
  </si>
  <si>
    <t>屏蔽城市</t>
  </si>
  <si>
    <t>福建省</t>
  </si>
  <si>
    <t>重磅</t>
  </si>
  <si>
    <t>广西壮族自治区</t>
  </si>
  <si>
    <t>精准</t>
  </si>
  <si>
    <t>宁夏回族自治区</t>
  </si>
  <si>
    <t>打开率</t>
  </si>
  <si>
    <t>贡献度</t>
  </si>
  <si>
    <t>负责地域目标打开UV</t>
  </si>
  <si>
    <t>区域</t>
  </si>
  <si>
    <t>天津市</t>
  </si>
  <si>
    <t>黑龙江省</t>
  </si>
  <si>
    <t>吉林省</t>
  </si>
  <si>
    <t>新疆维吾尔自治区</t>
  </si>
  <si>
    <t>西藏自治区</t>
  </si>
  <si>
    <t>河南省</t>
  </si>
  <si>
    <t>河北省</t>
  </si>
  <si>
    <t>陕西省</t>
  </si>
  <si>
    <t>湖南省</t>
  </si>
  <si>
    <t>安徽省</t>
  </si>
  <si>
    <t>山西省</t>
  </si>
  <si>
    <t>云南省</t>
  </si>
  <si>
    <t>江西省</t>
  </si>
  <si>
    <t>贵州省</t>
  </si>
  <si>
    <t>内蒙古自治区</t>
  </si>
  <si>
    <t>甘肃省</t>
  </si>
  <si>
    <t>海南省</t>
  </si>
  <si>
    <t>青海省</t>
  </si>
  <si>
    <t>台湾省</t>
  </si>
  <si>
    <t>超额完成</t>
  </si>
  <si>
    <t>是否达标</t>
  </si>
  <si>
    <t>本人贡献uv</t>
  </si>
  <si>
    <t>展示量</t>
  </si>
  <si>
    <t>打开uv</t>
  </si>
  <si>
    <t>中文姓名</t>
  </si>
  <si>
    <t>过滤客户端最后活跃</t>
  </si>
  <si>
    <t>展示uv</t>
  </si>
  <si>
    <t>打开量</t>
  </si>
  <si>
    <t>首启率</t>
  </si>
  <si>
    <t>下午班</t>
  </si>
  <si>
    <t>早班</t>
  </si>
  <si>
    <t>类型</t>
    <phoneticPr fontId="9" type="noConversion"/>
  </si>
  <si>
    <t>国际</t>
    <phoneticPr fontId="9" type="noConversion"/>
  </si>
  <si>
    <t>军事</t>
    <phoneticPr fontId="9" type="noConversion"/>
  </si>
  <si>
    <t>时政</t>
    <phoneticPr fontId="9" type="noConversion"/>
  </si>
  <si>
    <t>社会</t>
    <phoneticPr fontId="9" type="noConversion"/>
  </si>
  <si>
    <t>110万首启参考值</t>
  </si>
  <si>
    <t>个性化</t>
  </si>
  <si>
    <t>不达标</t>
  </si>
  <si>
    <t>编辑ID</t>
  </si>
  <si>
    <t>发送条数</t>
  </si>
  <si>
    <t>本地一区</t>
  </si>
  <si>
    <t>本地二区</t>
  </si>
  <si>
    <t>本地二区-下午班</t>
    <phoneticPr fontId="9" type="noConversion"/>
  </si>
  <si>
    <t>CTR</t>
    <phoneticPr fontId="9" type="noConversion"/>
  </si>
  <si>
    <t>编辑</t>
    <phoneticPr fontId="9" type="noConversion"/>
  </si>
  <si>
    <t>包含视频</t>
  </si>
  <si>
    <t>赵勇</t>
  </si>
  <si>
    <t>陈楠</t>
  </si>
  <si>
    <t>1.48%</t>
  </si>
  <si>
    <t>1.02%</t>
  </si>
  <si>
    <t>1.08%</t>
  </si>
  <si>
    <t>1.54%</t>
  </si>
  <si>
    <t>1.12%</t>
  </si>
  <si>
    <t>1.24%</t>
  </si>
  <si>
    <t>0.94%</t>
  </si>
  <si>
    <t>1.47%</t>
  </si>
  <si>
    <t>1.30%</t>
  </si>
  <si>
    <t>1.22%</t>
  </si>
  <si>
    <t>赵依然</t>
  </si>
  <si>
    <t>1.00%</t>
  </si>
  <si>
    <t>0.87%</t>
  </si>
  <si>
    <t>2.53%</t>
  </si>
  <si>
    <t>1.61%</t>
  </si>
  <si>
    <t>iOS</t>
  </si>
  <si>
    <t>1.16%</t>
  </si>
  <si>
    <t>1.18%</t>
  </si>
  <si>
    <t>1.31%</t>
  </si>
  <si>
    <t>1.27%</t>
  </si>
  <si>
    <t>1.71%</t>
  </si>
  <si>
    <t>林好男</t>
  </si>
  <si>
    <t>1.70%</t>
  </si>
  <si>
    <t>1.60%</t>
  </si>
  <si>
    <t>重大主题</t>
  </si>
  <si>
    <t>正能量</t>
  </si>
  <si>
    <t>1.65%</t>
  </si>
  <si>
    <t>发布Push数</t>
  </si>
  <si>
    <t>个性化超实时</t>
  </si>
  <si>
    <t>早晚班</t>
  </si>
  <si>
    <t>发布Push数-去重</t>
  </si>
  <si>
    <t>0.86%</t>
  </si>
  <si>
    <t>北京市</t>
  </si>
  <si>
    <t>负责地域</t>
  </si>
  <si>
    <t>负责地域打开UV</t>
  </si>
  <si>
    <t>目标完成情况</t>
  </si>
  <si>
    <t>广东省</t>
  </si>
  <si>
    <t>江苏省</t>
  </si>
  <si>
    <t>浙江省</t>
  </si>
  <si>
    <t>上海市</t>
  </si>
  <si>
    <t>山东省</t>
  </si>
  <si>
    <t>四川省</t>
  </si>
  <si>
    <t>湖北省</t>
  </si>
  <si>
    <t>辽宁省</t>
  </si>
  <si>
    <t>重庆市</t>
  </si>
  <si>
    <t>1.10%</t>
  </si>
  <si>
    <t>李晓晗</t>
  </si>
  <si>
    <t>要闻组</t>
  </si>
  <si>
    <t>0.96%</t>
  </si>
  <si>
    <t>0.71%</t>
  </si>
  <si>
    <t>1.03%</t>
  </si>
  <si>
    <t>0.91%</t>
  </si>
  <si>
    <t>1.85%</t>
  </si>
  <si>
    <t>0.59%</t>
  </si>
  <si>
    <t>0.83%</t>
  </si>
  <si>
    <t>0.92%</t>
  </si>
  <si>
    <t>nan%</t>
  </si>
  <si>
    <t>0.77%</t>
  </si>
  <si>
    <t>1.17%</t>
  </si>
  <si>
    <t>1.50%</t>
  </si>
  <si>
    <t>0.70%</t>
  </si>
  <si>
    <t>PUSH类型</t>
  </si>
  <si>
    <t>去重发送条数</t>
  </si>
  <si>
    <t>2023年9月</t>
    <phoneticPr fontId="17" type="noConversion"/>
  </si>
  <si>
    <t>时间</t>
    <phoneticPr fontId="9" type="noConversion"/>
  </si>
  <si>
    <t>本地二区-早班</t>
    <phoneticPr fontId="9" type="noConversion"/>
  </si>
  <si>
    <t>本地所有</t>
  </si>
  <si>
    <t>本地一区-早班</t>
    <phoneticPr fontId="9" type="noConversion"/>
  </si>
  <si>
    <t>本地所有-早班</t>
    <phoneticPr fontId="9" type="noConversion"/>
  </si>
  <si>
    <t>本地一区-下午班</t>
    <phoneticPr fontId="9" type="noConversion"/>
  </si>
  <si>
    <t>本地所有-下午班</t>
    <phoneticPr fontId="9" type="noConversion"/>
  </si>
  <si>
    <t>CTR</t>
    <phoneticPr fontId="9" type="noConversion"/>
  </si>
  <si>
    <t>编辑</t>
    <phoneticPr fontId="9" type="noConversion"/>
  </si>
  <si>
    <t>0.73%</t>
  </si>
  <si>
    <t>0.331096%</t>
  </si>
  <si>
    <t>0.379179%</t>
  </si>
  <si>
    <t>0.418755%</t>
  </si>
  <si>
    <t>0.403696%</t>
  </si>
  <si>
    <t>0.428752%</t>
  </si>
  <si>
    <t>0.368856%</t>
  </si>
  <si>
    <t>0.559068%</t>
  </si>
  <si>
    <t>0.431928%</t>
  </si>
  <si>
    <t>0.403524%</t>
  </si>
  <si>
    <t>0.333539%</t>
  </si>
  <si>
    <t>0.436024%</t>
  </si>
  <si>
    <t>0.482813%</t>
  </si>
  <si>
    <t>0.58%</t>
  </si>
  <si>
    <t>0.371016%</t>
  </si>
  <si>
    <t>0.389623%</t>
  </si>
  <si>
    <t>0.539843%</t>
  </si>
  <si>
    <t>0.410644%</t>
  </si>
  <si>
    <t>0.355271%</t>
  </si>
  <si>
    <t>0.321479%</t>
  </si>
  <si>
    <t>0.519167%</t>
  </si>
  <si>
    <t>0.428913%</t>
  </si>
  <si>
    <t>0.304945%</t>
  </si>
  <si>
    <t>0.407820%</t>
  </si>
  <si>
    <t>0.415943%</t>
  </si>
  <si>
    <t>0.603378%</t>
  </si>
  <si>
    <t>0.415186%</t>
  </si>
  <si>
    <t>0.390287%</t>
  </si>
  <si>
    <t>0.494353%</t>
  </si>
  <si>
    <t>首启率</t>
    <phoneticPr fontId="17" type="noConversion"/>
  </si>
  <si>
    <t>2023年12月</t>
    <phoneticPr fontId="17" type="noConversion"/>
  </si>
  <si>
    <t>2023年11月</t>
    <phoneticPr fontId="17" type="noConversion"/>
  </si>
  <si>
    <t>2023年10月</t>
    <phoneticPr fontId="17" type="noConversion"/>
  </si>
  <si>
    <t>all</t>
    <phoneticPr fontId="17" type="noConversion"/>
  </si>
  <si>
    <t>2023年9月</t>
    <phoneticPr fontId="17" type="noConversion"/>
  </si>
  <si>
    <t>2023年8月</t>
    <phoneticPr fontId="17" type="noConversion"/>
  </si>
  <si>
    <t>2023年7月</t>
    <phoneticPr fontId="17" type="noConversion"/>
  </si>
  <si>
    <t>全量</t>
    <phoneticPr fontId="17" type="noConversion"/>
  </si>
  <si>
    <t>个性化实时</t>
    <phoneticPr fontId="17" type="noConversion"/>
  </si>
  <si>
    <t>2023年11月</t>
    <phoneticPr fontId="17" type="noConversion"/>
  </si>
  <si>
    <t>2023年10月</t>
    <phoneticPr fontId="17" type="noConversion"/>
  </si>
  <si>
    <t>首启率</t>
    <phoneticPr fontId="17" type="noConversion"/>
  </si>
  <si>
    <t xml:space="preserve">本地实时 </t>
    <phoneticPr fontId="17" type="noConversion"/>
  </si>
  <si>
    <t xml:space="preserve">本地实时 </t>
    <phoneticPr fontId="17" type="noConversion"/>
  </si>
  <si>
    <t>2023年7月</t>
    <phoneticPr fontId="17" type="noConversion"/>
  </si>
  <si>
    <t>个性化非实时</t>
    <phoneticPr fontId="17" type="noConversion"/>
  </si>
  <si>
    <t>展示人数</t>
    <phoneticPr fontId="17" type="noConversion"/>
  </si>
  <si>
    <t>uv打开率</t>
    <phoneticPr fontId="17" type="noConversion"/>
  </si>
  <si>
    <t>精编</t>
    <phoneticPr fontId="17" type="noConversion"/>
  </si>
  <si>
    <t>精编</t>
    <phoneticPr fontId="17" type="noConversion"/>
  </si>
  <si>
    <t>非精编</t>
    <phoneticPr fontId="17" type="noConversion"/>
  </si>
  <si>
    <t>首启率</t>
    <phoneticPr fontId="17" type="noConversion"/>
  </si>
  <si>
    <t>other</t>
    <phoneticPr fontId="17" type="noConversion"/>
  </si>
  <si>
    <t>iOS</t>
    <phoneticPr fontId="17" type="noConversion"/>
  </si>
  <si>
    <t>Android</t>
    <phoneticPr fontId="17" type="noConversion"/>
  </si>
  <si>
    <t>Android去除华为</t>
    <phoneticPr fontId="17" type="noConversion"/>
  </si>
  <si>
    <t>2023年9月</t>
    <phoneticPr fontId="17" type="noConversion"/>
  </si>
  <si>
    <t>华为</t>
    <phoneticPr fontId="17" type="noConversion"/>
  </si>
  <si>
    <t>小米</t>
    <phoneticPr fontId="17" type="noConversion"/>
  </si>
  <si>
    <t>OPPO</t>
    <phoneticPr fontId="17" type="noConversion"/>
  </si>
  <si>
    <t>2023年12月</t>
    <phoneticPr fontId="17" type="noConversion"/>
  </si>
  <si>
    <t>VIVO</t>
    <phoneticPr fontId="17" type="noConversion"/>
  </si>
  <si>
    <t>2023年11月</t>
    <phoneticPr fontId="17" type="noConversion"/>
  </si>
  <si>
    <t>三星</t>
    <phoneticPr fontId="17" type="noConversion"/>
  </si>
  <si>
    <t>全量push</t>
    <phoneticPr fontId="9" type="noConversion"/>
  </si>
  <si>
    <t>总计</t>
    <phoneticPr fontId="9" type="noConversion"/>
  </si>
  <si>
    <t>不过滤</t>
    <phoneticPr fontId="9" type="noConversion"/>
  </si>
  <si>
    <t>过滤</t>
    <phoneticPr fontId="9" type="noConversion"/>
  </si>
  <si>
    <t>增长</t>
    <phoneticPr fontId="9" type="noConversion"/>
  </si>
  <si>
    <t>热推</t>
    <phoneticPr fontId="9" type="noConversion"/>
  </si>
  <si>
    <t>其他</t>
    <phoneticPr fontId="9" type="noConversion"/>
  </si>
  <si>
    <t>首启用户数</t>
    <phoneticPr fontId="9" type="noConversion"/>
  </si>
  <si>
    <t>发送条数</t>
    <phoneticPr fontId="9" type="noConversion"/>
  </si>
  <si>
    <t>个性化push</t>
    <phoneticPr fontId="9" type="noConversion"/>
  </si>
  <si>
    <t>个性化超实时</t>
    <phoneticPr fontId="9" type="noConversion"/>
  </si>
  <si>
    <t>个性化实时</t>
    <phoneticPr fontId="9" type="noConversion"/>
  </si>
  <si>
    <t>条数</t>
    <phoneticPr fontId="9" type="noConversion"/>
  </si>
  <si>
    <t>目标CTR</t>
    <phoneticPr fontId="9" type="noConversion"/>
  </si>
  <si>
    <t>0.442125%</t>
  </si>
  <si>
    <t>0.425195%</t>
  </si>
  <si>
    <t>0.375618%</t>
  </si>
  <si>
    <t>0.401655%</t>
  </si>
  <si>
    <t>0.451550%</t>
  </si>
  <si>
    <t>1.74%</t>
  </si>
  <si>
    <t>0.541313%</t>
  </si>
  <si>
    <t>0.356215%</t>
  </si>
  <si>
    <t>0.365280%</t>
  </si>
  <si>
    <t>0.309938%</t>
  </si>
  <si>
    <t>1.81%</t>
  </si>
  <si>
    <t>0.537201%</t>
  </si>
  <si>
    <t>0.610826%</t>
  </si>
  <si>
    <t>1.07%</t>
  </si>
  <si>
    <t>0.75%</t>
  </si>
  <si>
    <t>0.372446%</t>
  </si>
  <si>
    <t>0.335275%</t>
  </si>
  <si>
    <t>1.51%</t>
  </si>
  <si>
    <t>0.579162%</t>
  </si>
  <si>
    <t>0.457697%</t>
  </si>
  <si>
    <t>0.53%</t>
  </si>
  <si>
    <t>0.362797%</t>
  </si>
  <si>
    <t>0.333198%</t>
  </si>
  <si>
    <t>0.495745%</t>
  </si>
  <si>
    <t>2.87%</t>
  </si>
  <si>
    <t>0.499225%</t>
  </si>
  <si>
    <t>0.66%</t>
  </si>
  <si>
    <t>0.336123%</t>
  </si>
  <si>
    <t>0.555043%</t>
  </si>
  <si>
    <t>2.48%</t>
  </si>
  <si>
    <t>0.511872%</t>
  </si>
  <si>
    <t>2.65%</t>
  </si>
  <si>
    <t>0.425826%</t>
  </si>
  <si>
    <t>0.90%</t>
  </si>
  <si>
    <t>0.463586%</t>
  </si>
  <si>
    <t>0.95%</t>
  </si>
  <si>
    <t>0.67%</t>
  </si>
  <si>
    <t>0.361101%</t>
  </si>
  <si>
    <t>1.87%</t>
  </si>
  <si>
    <t>0.539175%</t>
  </si>
  <si>
    <t>1.99%</t>
  </si>
  <si>
    <t>0.543595%</t>
  </si>
  <si>
    <t>0.378386%</t>
  </si>
  <si>
    <t>1.40%</t>
  </si>
  <si>
    <t>1.11%</t>
  </si>
  <si>
    <t>2.20%</t>
  </si>
  <si>
    <t>0.458295%</t>
  </si>
  <si>
    <t>0.404766%</t>
  </si>
  <si>
    <t>0.441064%</t>
  </si>
  <si>
    <t>0.424522%</t>
  </si>
  <si>
    <t>0.416690%</t>
  </si>
  <si>
    <t>0.406753%</t>
  </si>
  <si>
    <t>1.82%</t>
  </si>
  <si>
    <t>0.628286%</t>
  </si>
  <si>
    <t>0.79%</t>
  </si>
  <si>
    <t>1.84%</t>
  </si>
  <si>
    <t>0.412442%</t>
  </si>
  <si>
    <t>0.355437%</t>
  </si>
  <si>
    <t>0.610540%</t>
  </si>
  <si>
    <t>0.399622%</t>
  </si>
  <si>
    <t>0.93%</t>
  </si>
  <si>
    <t>0.383932%</t>
  </si>
  <si>
    <t>0.366245%</t>
  </si>
  <si>
    <t>0.504253%</t>
  </si>
  <si>
    <t>1.39%</t>
  </si>
  <si>
    <t>0.441070%</t>
  </si>
  <si>
    <t>1.59%</t>
  </si>
  <si>
    <t>0.412559%</t>
  </si>
  <si>
    <t>0.254363%</t>
  </si>
  <si>
    <t>1.34%</t>
  </si>
  <si>
    <t>0.605956%</t>
  </si>
  <si>
    <t>0.88%</t>
  </si>
  <si>
    <t>0.340638%</t>
  </si>
  <si>
    <t>0.357813%</t>
  </si>
  <si>
    <t>0.438716%</t>
  </si>
  <si>
    <t>0.389153%</t>
  </si>
  <si>
    <t>2.25%</t>
  </si>
  <si>
    <t>0.443584%</t>
  </si>
  <si>
    <t>0.412809%</t>
  </si>
  <si>
    <t>1.15%</t>
  </si>
  <si>
    <t>4.53%</t>
  </si>
  <si>
    <t>0.462200%</t>
  </si>
  <si>
    <t>3.89%</t>
  </si>
  <si>
    <t>0.435712%</t>
  </si>
  <si>
    <t>2.90%</t>
  </si>
  <si>
    <t>0.570091%</t>
  </si>
  <si>
    <t>0.477563%</t>
  </si>
  <si>
    <t>3.16%</t>
  </si>
  <si>
    <t>0.379244%</t>
  </si>
  <si>
    <t>2.73%</t>
  </si>
  <si>
    <t>0.402072%</t>
  </si>
  <si>
    <t>2.34%</t>
  </si>
  <si>
    <t>0.515156%</t>
  </si>
  <si>
    <t>0.504645%</t>
  </si>
  <si>
    <t>3.01%</t>
  </si>
  <si>
    <t>0.368262%</t>
  </si>
  <si>
    <t>0.337442%</t>
  </si>
  <si>
    <t>1.46%</t>
  </si>
  <si>
    <t>0.485707%</t>
  </si>
  <si>
    <t>1.53%</t>
  </si>
  <si>
    <t>0.547325%</t>
  </si>
  <si>
    <t>0.85%</t>
  </si>
  <si>
    <t>0.311089%</t>
  </si>
  <si>
    <t>1.09%</t>
  </si>
  <si>
    <t>0.329996%</t>
  </si>
  <si>
    <t>0.474061%</t>
  </si>
  <si>
    <t>1.05%</t>
  </si>
  <si>
    <t>0.47%</t>
  </si>
  <si>
    <t>2.28%</t>
  </si>
  <si>
    <t>0.452560%</t>
  </si>
  <si>
    <t>0.288372%</t>
  </si>
  <si>
    <t>0.420903%</t>
  </si>
  <si>
    <t>0.310998%</t>
  </si>
  <si>
    <t>0.324827%</t>
  </si>
  <si>
    <t>0.462154%</t>
  </si>
  <si>
    <t>2.92%</t>
  </si>
  <si>
    <t>0.462026%</t>
  </si>
  <si>
    <t>3.97%</t>
  </si>
  <si>
    <t>0.523916%</t>
  </si>
  <si>
    <t>0.491453%</t>
  </si>
  <si>
    <t>0.497681%</t>
  </si>
  <si>
    <t>0.478058%</t>
  </si>
  <si>
    <t>0.372707%</t>
  </si>
  <si>
    <t>1.66%</t>
  </si>
  <si>
    <t>0.586946%</t>
  </si>
  <si>
    <t>0.444173%</t>
  </si>
  <si>
    <t>0.63%</t>
  </si>
  <si>
    <t>0.450659%</t>
  </si>
  <si>
    <t>1.29%</t>
  </si>
  <si>
    <t>0.568651%</t>
  </si>
  <si>
    <t>0.397642%</t>
  </si>
  <si>
    <t>0.679197%</t>
  </si>
  <si>
    <t>0.81%</t>
  </si>
  <si>
    <t>0.440578%</t>
  </si>
  <si>
    <t>0.412593%</t>
  </si>
  <si>
    <t>0.469799%</t>
  </si>
  <si>
    <t>1.45%</t>
  </si>
  <si>
    <t>0.56%</t>
  </si>
  <si>
    <t>0.372996%</t>
  </si>
  <si>
    <t>0.464820%</t>
  </si>
  <si>
    <t>0.692238%</t>
  </si>
  <si>
    <t>0.354513%</t>
  </si>
  <si>
    <t>1.33%</t>
  </si>
  <si>
    <t>0.716999%</t>
  </si>
  <si>
    <t>0.50%</t>
  </si>
  <si>
    <t>0.380838%</t>
  </si>
  <si>
    <t>1.21%</t>
  </si>
  <si>
    <t>0.78%</t>
  </si>
  <si>
    <t>0.62%</t>
  </si>
  <si>
    <t>0.61%</t>
  </si>
  <si>
    <t>0.60%</t>
  </si>
  <si>
    <t>0.42%</t>
  </si>
  <si>
    <t>0.39%</t>
  </si>
  <si>
    <t>0.344085%</t>
  </si>
  <si>
    <t>0.365489%</t>
  </si>
  <si>
    <t>0.753156%</t>
  </si>
  <si>
    <t>0.64%</t>
  </si>
  <si>
    <t>0.45%</t>
  </si>
  <si>
    <t>0.374492%</t>
  </si>
  <si>
    <t>0.273551%</t>
  </si>
  <si>
    <t>0.702537%</t>
  </si>
  <si>
    <t>0.89%</t>
  </si>
  <si>
    <t>0.400235%</t>
  </si>
  <si>
    <t>0.275372%</t>
  </si>
  <si>
    <t>0.562193%</t>
  </si>
  <si>
    <t>1.43%</t>
  </si>
  <si>
    <t>1.41%</t>
  </si>
  <si>
    <t>0.509660%</t>
  </si>
  <si>
    <t>0.680159%</t>
  </si>
  <si>
    <t>0.336569%</t>
  </si>
  <si>
    <t>0.288036%</t>
  </si>
  <si>
    <t>0.348050%</t>
  </si>
  <si>
    <t>0.621008%</t>
  </si>
  <si>
    <t>0.370403%</t>
  </si>
  <si>
    <t>0.517485%</t>
  </si>
  <si>
    <t>0.74%</t>
  </si>
  <si>
    <t>0.331268%</t>
  </si>
  <si>
    <t>0.271730%</t>
  </si>
  <si>
    <t>0.425420%</t>
  </si>
  <si>
    <t>0.48%</t>
  </si>
  <si>
    <t>0.419671%</t>
  </si>
  <si>
    <t>0.340850%</t>
  </si>
  <si>
    <t>0.410471%</t>
  </si>
  <si>
    <t>0.337908%</t>
  </si>
  <si>
    <t>0.57%</t>
  </si>
  <si>
    <t>0.72%</t>
  </si>
  <si>
    <t>0.51%</t>
  </si>
  <si>
    <t>0.43%</t>
  </si>
  <si>
    <t>0.54%</t>
  </si>
  <si>
    <t>0.408733%</t>
  </si>
  <si>
    <t>0.341131%</t>
  </si>
  <si>
    <t>0.399985%</t>
  </si>
  <si>
    <t>0.404333%</t>
  </si>
  <si>
    <t>0.320385%</t>
  </si>
  <si>
    <t>0.378784%</t>
  </si>
  <si>
    <t>0.55%</t>
  </si>
  <si>
    <t>0.295600%</t>
  </si>
  <si>
    <t>0.689965%</t>
  </si>
  <si>
    <t>0.52%</t>
  </si>
  <si>
    <t>0.387761%</t>
  </si>
  <si>
    <t>0.652416%</t>
  </si>
  <si>
    <t>2024年1月</t>
    <phoneticPr fontId="17" type="noConversion"/>
  </si>
  <si>
    <t>2024年1月</t>
    <phoneticPr fontId="17" type="noConversion"/>
  </si>
  <si>
    <t>2024年1月</t>
    <phoneticPr fontId="17" type="noConversion"/>
  </si>
  <si>
    <t>0.69%</t>
  </si>
  <si>
    <t>0.468753%</t>
  </si>
  <si>
    <t>0.320143%</t>
  </si>
  <si>
    <t>0.411743%</t>
  </si>
  <si>
    <t>0.406148%</t>
  </si>
  <si>
    <t>0.303893%</t>
  </si>
  <si>
    <t>1.19%</t>
  </si>
  <si>
    <t>0.804980%</t>
  </si>
  <si>
    <t>0.99%</t>
  </si>
  <si>
    <t>0.483440%</t>
  </si>
  <si>
    <t>1.52%</t>
  </si>
  <si>
    <t>0.707486%</t>
  </si>
  <si>
    <t>0.511082%</t>
  </si>
  <si>
    <t>0.494469%</t>
  </si>
  <si>
    <t>0.531894%</t>
  </si>
  <si>
    <t>0.352784%</t>
  </si>
  <si>
    <t>0.368972%</t>
  </si>
  <si>
    <t>0.733042%</t>
  </si>
  <si>
    <t>0.546503%</t>
  </si>
  <si>
    <t>0.883278%</t>
  </si>
  <si>
    <t>0.518074%</t>
  </si>
  <si>
    <t>1.13%</t>
  </si>
  <si>
    <t>0.428688%</t>
  </si>
  <si>
    <t>0.403909%</t>
  </si>
  <si>
    <t>0.578637%</t>
  </si>
  <si>
    <t>3.52%</t>
  </si>
  <si>
    <t>0.709732%</t>
  </si>
  <si>
    <t>0.523143%</t>
  </si>
  <si>
    <t>0.504775%</t>
  </si>
  <si>
    <t>0.335163%</t>
  </si>
  <si>
    <t>2.21%</t>
  </si>
  <si>
    <t>0.699527%</t>
  </si>
  <si>
    <t>0.393671%</t>
  </si>
  <si>
    <t>0.429092%</t>
  </si>
  <si>
    <t>3.50%</t>
  </si>
  <si>
    <t>0.742165%</t>
  </si>
  <si>
    <t>0.754074%</t>
  </si>
  <si>
    <t>0.467682%</t>
  </si>
  <si>
    <t>0.410070%</t>
  </si>
  <si>
    <t>0.430322%</t>
  </si>
  <si>
    <t>0.511939%</t>
  </si>
  <si>
    <t>1.04%</t>
  </si>
  <si>
    <t>0.46%</t>
  </si>
  <si>
    <t>0.401799%</t>
  </si>
  <si>
    <t>0.354494%</t>
  </si>
  <si>
    <t>1.36%</t>
  </si>
  <si>
    <t>0.613061%</t>
  </si>
  <si>
    <t>0.721251%</t>
  </si>
  <si>
    <t>0.424199%</t>
  </si>
  <si>
    <t>0.352358%</t>
  </si>
  <si>
    <t>0.627126%</t>
  </si>
  <si>
    <t>1.35%</t>
  </si>
  <si>
    <t>0.68%</t>
  </si>
  <si>
    <t>0.406387%</t>
  </si>
  <si>
    <t>0.305180%</t>
  </si>
  <si>
    <t>0.690699%</t>
  </si>
  <si>
    <t>0.668941%</t>
  </si>
  <si>
    <t>0.274006%</t>
  </si>
  <si>
    <t>0.682631%</t>
  </si>
  <si>
    <t>0.444452%</t>
  </si>
  <si>
    <t>0.49%</t>
  </si>
  <si>
    <t>0.335827%</t>
  </si>
  <si>
    <t>0.413559%</t>
  </si>
  <si>
    <t>2024年2月</t>
    <phoneticPr fontId="17" type="noConversion"/>
  </si>
  <si>
    <t>2024年2月</t>
    <phoneticPr fontId="17" type="noConversion"/>
  </si>
  <si>
    <t>2024年2月</t>
    <phoneticPr fontId="17" type="noConversion"/>
  </si>
  <si>
    <t>全量</t>
    <phoneticPr fontId="17" type="noConversion"/>
  </si>
  <si>
    <t>个性化实时</t>
    <phoneticPr fontId="17" type="noConversion"/>
  </si>
  <si>
    <t xml:space="preserve">本地实时 </t>
    <phoneticPr fontId="17" type="noConversion"/>
  </si>
  <si>
    <t>精编</t>
    <phoneticPr fontId="17" type="noConversion"/>
  </si>
  <si>
    <t>2024年2月</t>
    <phoneticPr fontId="17" type="noConversion"/>
  </si>
  <si>
    <t>iOS</t>
    <phoneticPr fontId="17" type="noConversion"/>
  </si>
  <si>
    <t>2024年2月</t>
    <phoneticPr fontId="17" type="noConversion"/>
  </si>
  <si>
    <t>2024年2月</t>
    <phoneticPr fontId="17" type="noConversion"/>
  </si>
  <si>
    <t>2024年2月</t>
    <phoneticPr fontId="17" type="noConversion"/>
  </si>
  <si>
    <t>0.438402%</t>
  </si>
  <si>
    <t>0.388547%</t>
  </si>
  <si>
    <t>0.421088%</t>
  </si>
  <si>
    <t>0.413030%</t>
  </si>
  <si>
    <t>0.424442%</t>
  </si>
  <si>
    <t>0.467585%</t>
  </si>
  <si>
    <t>0.428714%</t>
  </si>
  <si>
    <t>0.329122%</t>
  </si>
  <si>
    <t>0.356536%</t>
  </si>
  <si>
    <t>0.385087%</t>
  </si>
  <si>
    <t>0.386656%</t>
  </si>
  <si>
    <t>0.633187%</t>
  </si>
  <si>
    <t>0.301087%</t>
  </si>
  <si>
    <t>0.423553%</t>
  </si>
  <si>
    <t>0.82%</t>
  </si>
  <si>
    <t>0.344910%</t>
  </si>
  <si>
    <t>0.453195%</t>
  </si>
  <si>
    <t>0.363976%</t>
  </si>
  <si>
    <t>0.441969%</t>
  </si>
  <si>
    <t>0.84%</t>
  </si>
  <si>
    <t>0.325721%</t>
  </si>
  <si>
    <t>0.452606%</t>
  </si>
  <si>
    <t>0.288936%</t>
  </si>
  <si>
    <t>0.693058%</t>
  </si>
  <si>
    <t>0.554498%</t>
  </si>
  <si>
    <t>0.699977%</t>
  </si>
  <si>
    <t>0.394712%</t>
  </si>
  <si>
    <t>0.479644%</t>
  </si>
  <si>
    <t>0.633082%</t>
  </si>
  <si>
    <t>0.444033%</t>
  </si>
  <si>
    <t>0.351903%</t>
  </si>
  <si>
    <t>0.435916%</t>
  </si>
  <si>
    <t>0.374213%</t>
  </si>
  <si>
    <t>1.97%</t>
  </si>
  <si>
    <t>0.604813%</t>
  </si>
  <si>
    <t>0.444676%</t>
  </si>
  <si>
    <t>0.76%</t>
  </si>
  <si>
    <t>3.19%</t>
  </si>
  <si>
    <t>0.648020%</t>
  </si>
  <si>
    <t>2.41%</t>
  </si>
  <si>
    <t>0.688891%</t>
  </si>
  <si>
    <t>0.509817%</t>
  </si>
  <si>
    <t>0.442250%</t>
  </si>
  <si>
    <t>0.418201%</t>
  </si>
  <si>
    <t>0.717471%</t>
  </si>
  <si>
    <t>0.520714%</t>
  </si>
  <si>
    <t>0.432388%</t>
  </si>
  <si>
    <t>0.440354%</t>
  </si>
  <si>
    <t>0.542643%</t>
  </si>
  <si>
    <t>3.53%</t>
  </si>
  <si>
    <t>0.656220%</t>
  </si>
  <si>
    <t>1.80%</t>
  </si>
  <si>
    <t>0.622535%</t>
  </si>
  <si>
    <t>0.517263%</t>
  </si>
  <si>
    <t>0.383526%</t>
  </si>
  <si>
    <t>0.80%</t>
  </si>
  <si>
    <t>0.354296%</t>
  </si>
  <si>
    <t>0.322747%</t>
  </si>
  <si>
    <t>0.627905%</t>
  </si>
  <si>
    <t>1.06%</t>
  </si>
  <si>
    <t>0.383545%</t>
  </si>
  <si>
    <t>0.400934%</t>
  </si>
  <si>
    <t>0.653992%</t>
  </si>
  <si>
    <t>0.499047%</t>
  </si>
  <si>
    <t>0.403697%</t>
  </si>
  <si>
    <t>1.20%</t>
  </si>
  <si>
    <t>0.681553%</t>
  </si>
  <si>
    <t>0.443150%</t>
  </si>
  <si>
    <t>0.44%</t>
  </si>
  <si>
    <t>0.316842%</t>
  </si>
  <si>
    <t>1.26%</t>
  </si>
  <si>
    <t>0.678825%</t>
  </si>
  <si>
    <t>0.594741%</t>
  </si>
  <si>
    <t>0.445085%</t>
  </si>
  <si>
    <t>0.389905%</t>
  </si>
  <si>
    <t>0.455454%</t>
  </si>
  <si>
    <t>2.70%</t>
  </si>
  <si>
    <t>0.674967%</t>
  </si>
  <si>
    <t>0.505907%</t>
  </si>
  <si>
    <t>0.741946%</t>
  </si>
  <si>
    <t>0.461503%</t>
  </si>
  <si>
    <t>0.409887%</t>
  </si>
  <si>
    <t>0.396697%</t>
  </si>
  <si>
    <t>0.692195%</t>
  </si>
  <si>
    <t>0.663285%</t>
  </si>
  <si>
    <t>0.488836%</t>
  </si>
  <si>
    <t>0.313621%</t>
  </si>
  <si>
    <t>0.517482%</t>
  </si>
  <si>
    <t>0.717067%</t>
  </si>
  <si>
    <t>0.315933%</t>
  </si>
  <si>
    <t>0.328612%</t>
  </si>
  <si>
    <t>0.716782%</t>
  </si>
  <si>
    <t>0.422793%</t>
  </si>
  <si>
    <t>0.371336%</t>
  </si>
  <si>
    <t>0.365086%</t>
  </si>
  <si>
    <t>0.422529%</t>
  </si>
  <si>
    <t>0.444850%</t>
  </si>
  <si>
    <t>0.744938%</t>
  </si>
  <si>
    <t>0.325748%</t>
  </si>
  <si>
    <t>0.419069%</t>
  </si>
  <si>
    <t>0.374507%</t>
  </si>
  <si>
    <t>0.658943%</t>
  </si>
  <si>
    <t>0.512632%</t>
  </si>
  <si>
    <t>0.493556%</t>
  </si>
  <si>
    <t>0.420410%</t>
  </si>
  <si>
    <t>0.467075%</t>
  </si>
  <si>
    <t>0.679787%</t>
  </si>
  <si>
    <t>0.375643%</t>
  </si>
  <si>
    <t>0.433021%</t>
  </si>
  <si>
    <t>0.339114%</t>
  </si>
  <si>
    <t>0.366789%</t>
  </si>
  <si>
    <t>0.571634%</t>
  </si>
  <si>
    <t>0.38%</t>
  </si>
  <si>
    <t>0.406177%</t>
  </si>
  <si>
    <t>0.295195%</t>
  </si>
  <si>
    <t>0.714992%</t>
  </si>
  <si>
    <t>0.382262%</t>
  </si>
  <si>
    <t>0.311751%</t>
  </si>
  <si>
    <t>0.686624%</t>
  </si>
  <si>
    <t>2024年3月</t>
    <phoneticPr fontId="17" type="noConversion"/>
  </si>
  <si>
    <t>2024年3月</t>
    <phoneticPr fontId="17" type="noConversion"/>
  </si>
  <si>
    <t>2024年3月</t>
    <phoneticPr fontId="17" type="noConversion"/>
  </si>
  <si>
    <t>1.28%</t>
  </si>
  <si>
    <t>1.01%</t>
  </si>
  <si>
    <t>0.364401%</t>
  </si>
  <si>
    <t>0.500811%</t>
  </si>
  <si>
    <t>0.476350%</t>
  </si>
  <si>
    <t>0.462656%</t>
  </si>
  <si>
    <t>0.399149%</t>
  </si>
  <si>
    <t>0.344956%</t>
  </si>
  <si>
    <t>0.456306%</t>
  </si>
  <si>
    <t>0.735216%</t>
  </si>
  <si>
    <t>0.389660%</t>
  </si>
  <si>
    <t>0.370107%</t>
  </si>
  <si>
    <t>1.38%</t>
  </si>
  <si>
    <t>0.765591%</t>
  </si>
  <si>
    <t>0.483253%</t>
  </si>
  <si>
    <t>0.391995%</t>
  </si>
  <si>
    <t>0.334193%</t>
  </si>
  <si>
    <t>0.696818%</t>
  </si>
  <si>
    <t>0.597471%</t>
  </si>
  <si>
    <t>0.399458%</t>
  </si>
  <si>
    <t>0.362498%</t>
  </si>
  <si>
    <t>0.675369%</t>
  </si>
  <si>
    <t>0.618869%</t>
  </si>
  <si>
    <t>0.400547%</t>
  </si>
  <si>
    <t>0.481988%</t>
  </si>
  <si>
    <t>0.383424%</t>
  </si>
  <si>
    <t>2.35%</t>
  </si>
  <si>
    <t>0.642958%</t>
  </si>
  <si>
    <t>0.526500%</t>
  </si>
  <si>
    <t>0.406398%</t>
  </si>
  <si>
    <t>1.42%</t>
  </si>
  <si>
    <t>0.585002%</t>
  </si>
  <si>
    <t>0.422565%</t>
  </si>
  <si>
    <t>0.538400%</t>
  </si>
  <si>
    <t>0.428057%</t>
  </si>
  <si>
    <t>0.65%</t>
  </si>
  <si>
    <t>0.494764%</t>
  </si>
  <si>
    <t>0.418743%</t>
  </si>
  <si>
    <t>0.411550%</t>
  </si>
  <si>
    <t>1.37%</t>
  </si>
  <si>
    <t>0.699483%</t>
  </si>
  <si>
    <t>1.75%</t>
  </si>
  <si>
    <t>0.602354%</t>
  </si>
  <si>
    <t>0.378928%</t>
  </si>
  <si>
    <t>0.587690%</t>
  </si>
  <si>
    <t>0.426407%</t>
  </si>
  <si>
    <t>0.458129%</t>
  </si>
  <si>
    <t>0.396279%</t>
  </si>
  <si>
    <t>1.62%</t>
  </si>
  <si>
    <t>0.642081%</t>
  </si>
  <si>
    <t>0.378399%</t>
  </si>
  <si>
    <t>0.565467%</t>
  </si>
  <si>
    <t>0.475073%</t>
  </si>
  <si>
    <t>0.634783%</t>
  </si>
  <si>
    <t>0.611778%</t>
  </si>
  <si>
    <t>0.408540%</t>
  </si>
  <si>
    <t>0.504077%</t>
  </si>
  <si>
    <t>1.14%</t>
  </si>
  <si>
    <t>0.470247%</t>
  </si>
  <si>
    <t>0.375059%</t>
  </si>
  <si>
    <t>0.445632%</t>
  </si>
  <si>
    <t>2.58%</t>
  </si>
  <si>
    <t>0.622835%</t>
  </si>
  <si>
    <t>0.400610%</t>
  </si>
  <si>
    <t>0.449503%</t>
  </si>
  <si>
    <t>0.391146%</t>
  </si>
  <si>
    <t>5.27%</t>
  </si>
  <si>
    <t>0.688735%</t>
  </si>
  <si>
    <t>3.47%</t>
  </si>
  <si>
    <t>0.726956%</t>
  </si>
  <si>
    <t>0.646232%</t>
  </si>
  <si>
    <t>0.674251%</t>
  </si>
  <si>
    <t>0.477662%</t>
  </si>
  <si>
    <t>0.329914%</t>
  </si>
  <si>
    <t>1.32%</t>
  </si>
  <si>
    <t>0.675549%</t>
  </si>
  <si>
    <t>0.472201%</t>
  </si>
  <si>
    <t>1.23%</t>
  </si>
  <si>
    <t>0.424375%</t>
  </si>
  <si>
    <t>0.316007%</t>
  </si>
  <si>
    <t>0.650359%</t>
  </si>
  <si>
    <t>0.439428%</t>
  </si>
  <si>
    <t>0.402551%</t>
  </si>
  <si>
    <t>0.307930%</t>
  </si>
  <si>
    <t>0.451801%</t>
  </si>
  <si>
    <t>0.642933%</t>
  </si>
  <si>
    <t>0.370401%</t>
  </si>
  <si>
    <t>0.410823%</t>
  </si>
  <si>
    <t>0.725666%</t>
  </si>
  <si>
    <t>非实时值班编辑</t>
  </si>
  <si>
    <t>审核文章量</t>
  </si>
  <si>
    <t>2024年4月</t>
    <phoneticPr fontId="17" type="noConversion"/>
  </si>
  <si>
    <t>2024年4月</t>
    <phoneticPr fontId="9" type="noConversion"/>
  </si>
  <si>
    <t>2024年4月</t>
    <phoneticPr fontId="17" type="noConversion"/>
  </si>
  <si>
    <t>2024年4月</t>
    <phoneticPr fontId="17" type="noConversion"/>
  </si>
  <si>
    <t>2024年4月</t>
    <phoneticPr fontId="17" type="noConversion"/>
  </si>
  <si>
    <t>2024年4月</t>
    <phoneticPr fontId="17" type="noConversion"/>
  </si>
  <si>
    <t>突发</t>
  </si>
  <si>
    <t>0.482383%</t>
  </si>
  <si>
    <t>0.434228%</t>
  </si>
  <si>
    <t>早晚班</t>
    <phoneticPr fontId="9" type="noConversion"/>
  </si>
  <si>
    <t>发布Push数</t>
    <phoneticPr fontId="9" type="noConversion"/>
  </si>
  <si>
    <t>发布Push数-去重</t>
    <phoneticPr fontId="9" type="noConversion"/>
  </si>
  <si>
    <t>日期</t>
    <phoneticPr fontId="9" type="noConversion"/>
  </si>
  <si>
    <t>辅助1</t>
    <phoneticPr fontId="9" type="noConversion"/>
  </si>
  <si>
    <t>辅助2</t>
    <phoneticPr fontId="9" type="noConversion"/>
  </si>
  <si>
    <t>辅助3</t>
    <phoneticPr fontId="9" type="noConversion"/>
  </si>
  <si>
    <t>辅助4</t>
    <phoneticPr fontId="9" type="noConversion"/>
  </si>
  <si>
    <t>早班</t>
    <phoneticPr fontId="9" type="noConversion"/>
  </si>
  <si>
    <t>0.410521%</t>
  </si>
  <si>
    <t>0.371131%</t>
  </si>
  <si>
    <t>0.816900%</t>
  </si>
  <si>
    <t>0.659495%</t>
  </si>
  <si>
    <t>0.424911%</t>
  </si>
  <si>
    <t>0.372037%</t>
  </si>
  <si>
    <t>0.528309%</t>
  </si>
  <si>
    <t>0.578511%</t>
  </si>
  <si>
    <t>0.475800%</t>
  </si>
  <si>
    <t>0.278633%</t>
  </si>
  <si>
    <t>0.485388%</t>
  </si>
  <si>
    <t>0.676611%</t>
  </si>
  <si>
    <t>0.311088%</t>
  </si>
  <si>
    <t>0.497972%</t>
  </si>
  <si>
    <t>0.464736%</t>
  </si>
  <si>
    <t>0.308497%</t>
  </si>
  <si>
    <t>0.464839%</t>
  </si>
  <si>
    <t>0.687048%</t>
  </si>
  <si>
    <t>0.330961%</t>
  </si>
  <si>
    <t>0.264324%</t>
  </si>
  <si>
    <t>0.727792%</t>
  </si>
  <si>
    <t>0.281027%</t>
  </si>
  <si>
    <t>0.643244%</t>
  </si>
  <si>
    <t>0.396486%</t>
  </si>
  <si>
    <t>0.98%</t>
  </si>
  <si>
    <t>0.574072%</t>
  </si>
  <si>
    <t>0.454063%</t>
  </si>
  <si>
    <t>0.340818%</t>
  </si>
  <si>
    <t>0.518209%</t>
  </si>
  <si>
    <t>0.402306%</t>
  </si>
  <si>
    <t>2.74%</t>
  </si>
  <si>
    <t>0.700339%</t>
  </si>
  <si>
    <t>0.421588%</t>
  </si>
  <si>
    <t>0.530971%</t>
  </si>
  <si>
    <t>4.36%</t>
  </si>
  <si>
    <t>0.758487%</t>
  </si>
  <si>
    <t>0.360811%</t>
  </si>
  <si>
    <t>0.490686%</t>
  </si>
  <si>
    <t>0.461931%</t>
  </si>
  <si>
    <t>0.466791%</t>
  </si>
  <si>
    <t>0.484523%</t>
  </si>
  <si>
    <t>0.449218%</t>
  </si>
  <si>
    <t>0.97%</t>
  </si>
  <si>
    <t>0.487984%</t>
  </si>
  <si>
    <t>0.464043%</t>
  </si>
  <si>
    <t>0.518930%</t>
  </si>
  <si>
    <t>0.393275%</t>
  </si>
  <si>
    <t>0.448960%</t>
  </si>
  <si>
    <t>0.447235%</t>
  </si>
  <si>
    <t>0.438151%</t>
  </si>
  <si>
    <t>0.434999%</t>
  </si>
  <si>
    <t>0.356500%</t>
  </si>
  <si>
    <t>0.529091%</t>
  </si>
  <si>
    <t>0.521893%</t>
  </si>
  <si>
    <t>0.479811%</t>
  </si>
  <si>
    <t>0.393207%</t>
  </si>
  <si>
    <t>0.408476%</t>
  </si>
  <si>
    <t>0.454781%</t>
  </si>
  <si>
    <t>0.380319%</t>
  </si>
  <si>
    <t>0.444586%</t>
  </si>
  <si>
    <t>0.563526%</t>
  </si>
  <si>
    <t>0.624439%</t>
  </si>
  <si>
    <t>0.527153%</t>
  </si>
  <si>
    <t>0.443264%</t>
  </si>
  <si>
    <t>0.420352%</t>
  </si>
  <si>
    <t>0.417693%</t>
  </si>
  <si>
    <t>0.479908%</t>
  </si>
  <si>
    <t>0.542932%</t>
  </si>
  <si>
    <t>0.672014%</t>
  </si>
  <si>
    <t>0.521406%</t>
  </si>
  <si>
    <t>0.534330%</t>
  </si>
  <si>
    <t>0.488506%</t>
  </si>
  <si>
    <t>0.782083%</t>
  </si>
  <si>
    <t>0.688718%</t>
  </si>
  <si>
    <t>0.502450%</t>
  </si>
  <si>
    <t>0.519829%</t>
  </si>
  <si>
    <t>0.616421%</t>
  </si>
  <si>
    <t>1.49%</t>
  </si>
  <si>
    <t>0.789231%</t>
  </si>
  <si>
    <t>0.570499%</t>
  </si>
  <si>
    <t>0.370820%</t>
  </si>
  <si>
    <t>1.76%</t>
  </si>
  <si>
    <t>0.748454%</t>
  </si>
  <si>
    <t>0.553895%</t>
  </si>
  <si>
    <t>1.44%</t>
  </si>
  <si>
    <t>0.575551%</t>
  </si>
  <si>
    <t>0.629190%</t>
  </si>
  <si>
    <t>0.637391%</t>
  </si>
  <si>
    <t>0.412356%</t>
  </si>
  <si>
    <t>0.377991%</t>
  </si>
  <si>
    <t>0.744646%</t>
  </si>
  <si>
    <t>0.459338%</t>
  </si>
  <si>
    <t>0.434612%</t>
  </si>
  <si>
    <t>0.615514%</t>
  </si>
  <si>
    <t>0.504676%</t>
  </si>
  <si>
    <t>0.406285%</t>
  </si>
  <si>
    <t>0.696128%</t>
  </si>
  <si>
    <t>0.587327%</t>
  </si>
  <si>
    <t>0.475680%</t>
  </si>
  <si>
    <t>0.789679%</t>
  </si>
  <si>
    <t>1.68%</t>
  </si>
  <si>
    <t>0.479775%</t>
  </si>
  <si>
    <t>0.695328%</t>
  </si>
  <si>
    <t>0.743092%</t>
  </si>
  <si>
    <t>0.454279%</t>
  </si>
  <si>
    <t>0.463938%</t>
  </si>
  <si>
    <t>0.598137%</t>
  </si>
  <si>
    <t>0.595961%</t>
  </si>
  <si>
    <t>0.530141%</t>
  </si>
  <si>
    <t>0.546243%</t>
  </si>
  <si>
    <t>0.546623%</t>
  </si>
  <si>
    <t>0.419287%</t>
  </si>
  <si>
    <t>0.516834%</t>
  </si>
  <si>
    <t>0.409466%</t>
  </si>
  <si>
    <t>0.441033%</t>
  </si>
  <si>
    <t>0.539527%</t>
  </si>
  <si>
    <t>0.527803%</t>
  </si>
  <si>
    <t>2024年5月</t>
    <phoneticPr fontId="17" type="noConversion"/>
  </si>
  <si>
    <t>all</t>
    <phoneticPr fontId="9" type="noConversion"/>
  </si>
  <si>
    <t>2024年5月</t>
    <phoneticPr fontId="9" type="noConversion"/>
  </si>
  <si>
    <t>2024年5月</t>
    <phoneticPr fontId="9" type="noConversion"/>
  </si>
  <si>
    <t>2024年5月</t>
    <phoneticPr fontId="17" type="noConversion"/>
  </si>
  <si>
    <t>2024年5月</t>
    <phoneticPr fontId="17" type="noConversion"/>
  </si>
  <si>
    <t>2024年5月</t>
    <phoneticPr fontId="17" type="noConversion"/>
  </si>
  <si>
    <t>0.449988%</t>
  </si>
  <si>
    <t>0.746702%</t>
  </si>
  <si>
    <t>0.403733%</t>
  </si>
  <si>
    <t>0.458803%</t>
  </si>
  <si>
    <t>0.463196%</t>
  </si>
  <si>
    <t>0.766885%</t>
  </si>
  <si>
    <t>0.537256%</t>
  </si>
  <si>
    <t>0.409237%</t>
  </si>
  <si>
    <t>0.648515%</t>
  </si>
  <si>
    <t>0.422146%</t>
  </si>
  <si>
    <t>0.432596%</t>
  </si>
  <si>
    <t>0.533864%</t>
  </si>
  <si>
    <t>0.585420%</t>
  </si>
  <si>
    <t>0.532853%</t>
  </si>
  <si>
    <t>0.503139%</t>
  </si>
  <si>
    <t>0.344823%</t>
  </si>
  <si>
    <t>0.404622%</t>
  </si>
  <si>
    <t>0.390998%</t>
  </si>
  <si>
    <t>0.489610%</t>
  </si>
  <si>
    <t>0.531291%</t>
  </si>
  <si>
    <t>0.549374%</t>
  </si>
  <si>
    <t>0.664130%</t>
  </si>
  <si>
    <t>0.582504%</t>
  </si>
  <si>
    <t>0.500179%</t>
  </si>
  <si>
    <t>0.801180%</t>
  </si>
  <si>
    <t>0.450381%</t>
  </si>
  <si>
    <t>0.366366%</t>
  </si>
  <si>
    <t>0.416347%</t>
  </si>
  <si>
    <t>0.41%</t>
  </si>
  <si>
    <t>0.313019%</t>
  </si>
  <si>
    <t>0.412087%</t>
  </si>
  <si>
    <t>0.394725%</t>
  </si>
  <si>
    <t>0.323155%</t>
  </si>
  <si>
    <t>0.560995%</t>
  </si>
  <si>
    <t>0.332821%</t>
  </si>
  <si>
    <t>0.374560%</t>
  </si>
  <si>
    <t>0.599811%</t>
  </si>
  <si>
    <t>2.15%</t>
  </si>
  <si>
    <t>0.569170%</t>
  </si>
  <si>
    <t>0.359957%</t>
  </si>
  <si>
    <t>0.369109%</t>
  </si>
  <si>
    <t>0.402918%</t>
  </si>
  <si>
    <t>0.424651%</t>
  </si>
  <si>
    <t>0.471673%</t>
  </si>
  <si>
    <t>0.414528%</t>
  </si>
  <si>
    <t>0.445677%</t>
  </si>
  <si>
    <t>0.487228%</t>
  </si>
  <si>
    <t>0.335022%</t>
  </si>
  <si>
    <t>0.650210%</t>
  </si>
  <si>
    <t>0.468122%</t>
  </si>
  <si>
    <t>0.319293%</t>
  </si>
  <si>
    <t>0.686219%</t>
  </si>
  <si>
    <t>0.374697%</t>
  </si>
  <si>
    <t>0.339282%</t>
  </si>
  <si>
    <t>0.642329%</t>
  </si>
  <si>
    <t>0.482391%</t>
  </si>
  <si>
    <t>0.325332%</t>
  </si>
  <si>
    <t>0.648996%</t>
  </si>
  <si>
    <t>0.518113%</t>
  </si>
  <si>
    <t>0.457087%</t>
  </si>
  <si>
    <t>0.523248%</t>
  </si>
  <si>
    <t>0.498091%</t>
  </si>
  <si>
    <t>0.433434%</t>
  </si>
  <si>
    <t>0.479002%</t>
  </si>
  <si>
    <t>0.637207%</t>
  </si>
  <si>
    <t>0.679927%</t>
  </si>
  <si>
    <t>0.404715%</t>
  </si>
  <si>
    <t>0.428215%</t>
  </si>
  <si>
    <t>0.483095%</t>
  </si>
  <si>
    <t>0.712839%</t>
  </si>
  <si>
    <t>0.413086%</t>
  </si>
  <si>
    <t>0.840513%</t>
  </si>
  <si>
    <t>0.507303%</t>
  </si>
  <si>
    <t>0.585760%</t>
  </si>
  <si>
    <t>2024年6月</t>
    <phoneticPr fontId="17" type="noConversion"/>
  </si>
  <si>
    <t>all</t>
    <phoneticPr fontId="9" type="noConversion"/>
  </si>
  <si>
    <t>2024年6月</t>
    <phoneticPr fontId="9" type="noConversion"/>
  </si>
  <si>
    <t>2024年6月</t>
    <phoneticPr fontId="9" type="noConversion"/>
  </si>
  <si>
    <t>2024年6月</t>
    <phoneticPr fontId="17" type="noConversion"/>
  </si>
  <si>
    <t>2024年6月</t>
    <phoneticPr fontId="17" type="noConversion"/>
  </si>
  <si>
    <t>2024年6月</t>
    <phoneticPr fontId="17" type="noConversion"/>
  </si>
  <si>
    <t>2024年6月</t>
    <phoneticPr fontId="17" type="noConversion"/>
  </si>
  <si>
    <t>0.537183%</t>
  </si>
  <si>
    <t>0.421982%</t>
  </si>
  <si>
    <t>0.744822%</t>
  </si>
  <si>
    <t>0.465624%</t>
  </si>
  <si>
    <t>doc</t>
  </si>
  <si>
    <t>文章中不含视频</t>
  </si>
  <si>
    <t>0.489990%</t>
  </si>
  <si>
    <t>0.413986%</t>
  </si>
  <si>
    <t>0.490506%</t>
  </si>
  <si>
    <t>0.484633%</t>
  </si>
  <si>
    <t>robot-news</t>
  </si>
  <si>
    <t>3.27%</t>
  </si>
  <si>
    <t>0.681653%</t>
  </si>
  <si>
    <t>0.530535%</t>
  </si>
  <si>
    <t>0.663529%</t>
  </si>
  <si>
    <t>0.630014%</t>
  </si>
  <si>
    <t>0.498873%</t>
  </si>
  <si>
    <t>0.665333%</t>
  </si>
  <si>
    <t>0.467745%</t>
  </si>
  <si>
    <t>0.412617%</t>
  </si>
  <si>
    <t>0.453414%</t>
  </si>
  <si>
    <t>0.680327%</t>
  </si>
  <si>
    <t>0.454902%</t>
  </si>
  <si>
    <t>0.495024%</t>
  </si>
  <si>
    <t>2.37%</t>
  </si>
  <si>
    <t>0.633865%</t>
  </si>
  <si>
    <t>1.55%</t>
  </si>
  <si>
    <t>0.865549%</t>
  </si>
  <si>
    <t>0.431145%</t>
  </si>
  <si>
    <t>0.308881%</t>
  </si>
  <si>
    <t>0.646392%</t>
  </si>
  <si>
    <t>0.472342%</t>
  </si>
  <si>
    <t>0.435798%</t>
  </si>
  <si>
    <t>0.534593%</t>
  </si>
  <si>
    <t>0.438340%</t>
  </si>
  <si>
    <t>0.441453%</t>
  </si>
  <si>
    <t>0.358500%</t>
  </si>
  <si>
    <t>0.475807%</t>
  </si>
  <si>
    <t>0.474198%</t>
  </si>
  <si>
    <t>0.481911%</t>
  </si>
  <si>
    <t>0.528726%</t>
  </si>
  <si>
    <t>0.421552%</t>
  </si>
  <si>
    <t>0.607752%</t>
  </si>
  <si>
    <t>0.380808%</t>
  </si>
  <si>
    <t>0.521373%</t>
  </si>
  <si>
    <t>0.454920%</t>
  </si>
  <si>
    <t>0.494036%</t>
  </si>
  <si>
    <t>0.405283%</t>
  </si>
  <si>
    <t>覃肄灵</t>
  </si>
  <si>
    <t>qinyiling</t>
  </si>
  <si>
    <t>0.462497%</t>
  </si>
  <si>
    <t>0.427135%</t>
  </si>
  <si>
    <t>0.489894%</t>
  </si>
  <si>
    <t>张申</t>
  </si>
  <si>
    <t>zhangshen03</t>
  </si>
  <si>
    <t>0.397792%</t>
  </si>
  <si>
    <t>0.736177%</t>
  </si>
  <si>
    <t>0.493563%</t>
  </si>
  <si>
    <t>赵婷</t>
  </si>
  <si>
    <t>0.505171%</t>
  </si>
  <si>
    <t>0.340905%</t>
  </si>
  <si>
    <t>0.523810%</t>
  </si>
  <si>
    <t>高雨琪</t>
  </si>
  <si>
    <t>万斯被正式提名为共和党副总统候选人</t>
  </si>
  <si>
    <t>S1721081721050</t>
  </si>
  <si>
    <t>2024-07-16 06:17:33</t>
  </si>
  <si>
    <t>万斯称中国是美国最大威胁 外交部回应</t>
  </si>
  <si>
    <t>J782C7IT0534A4SC</t>
  </si>
  <si>
    <t>2024-07-16 18:01:00</t>
  </si>
  <si>
    <t>美国,时政,重度新闻用户,军事,社会</t>
  </si>
  <si>
    <t>袭击特朗普枪手案发前买50发子弹</t>
  </si>
  <si>
    <t>J76VC2CA000189PS</t>
  </si>
  <si>
    <t>2024-07-16 08:09:04</t>
  </si>
  <si>
    <t>美国,军事,国际,时政</t>
  </si>
  <si>
    <t>文章中含视频</t>
  </si>
  <si>
    <t>网红自驾游阿姨成功离婚:付男方16万</t>
  </si>
  <si>
    <t>J781ATMV0534P59R</t>
  </si>
  <si>
    <t>2024-07-16 19:11:42</t>
  </si>
  <si>
    <t>社会,娱乐,财经</t>
  </si>
  <si>
    <t>刘效武</t>
  </si>
  <si>
    <t>xwliu</t>
  </si>
  <si>
    <t>张卫红</t>
  </si>
  <si>
    <t>zhangweihong</t>
  </si>
  <si>
    <t>吴二鹏</t>
  </si>
  <si>
    <t>wuerpeng</t>
  </si>
  <si>
    <t>8.25%</t>
  </si>
  <si>
    <t>赵勇 林好男</t>
  </si>
  <si>
    <t>38.70%</t>
  </si>
  <si>
    <t>赵依然 林好男</t>
  </si>
  <si>
    <t>17.07%</t>
  </si>
  <si>
    <t>19.94%</t>
  </si>
  <si>
    <t>9.65%</t>
  </si>
  <si>
    <t>198.87%</t>
  </si>
  <si>
    <t>18.67%</t>
  </si>
  <si>
    <t>26.97%</t>
  </si>
  <si>
    <t>17.31%</t>
  </si>
  <si>
    <t>20.96%</t>
  </si>
  <si>
    <t>16.06%</t>
  </si>
  <si>
    <t>15.09%</t>
  </si>
  <si>
    <t>23.56%</t>
  </si>
  <si>
    <t>26.02%</t>
  </si>
  <si>
    <t>9.23%</t>
  </si>
  <si>
    <t>30.52%</t>
  </si>
  <si>
    <t>24.33%</t>
  </si>
  <si>
    <t>21.24%</t>
  </si>
  <si>
    <t>27.21%</t>
  </si>
  <si>
    <t>23.97%</t>
  </si>
  <si>
    <t>9.16%</t>
  </si>
  <si>
    <t>19.11%</t>
  </si>
  <si>
    <t>13.04%</t>
  </si>
  <si>
    <t>17.52%</t>
  </si>
  <si>
    <t>16.82%</t>
  </si>
  <si>
    <t>53.38%</t>
  </si>
  <si>
    <t>14.97%</t>
  </si>
  <si>
    <t>17.48%</t>
  </si>
  <si>
    <t>22.21%</t>
  </si>
  <si>
    <t>14.31%</t>
  </si>
  <si>
    <t>3.33%</t>
  </si>
  <si>
    <t>11.63%</t>
  </si>
  <si>
    <t>0.540677%</t>
  </si>
  <si>
    <t>0.346384%</t>
  </si>
  <si>
    <t>0.591318%</t>
  </si>
  <si>
    <t>蒋茹琪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</si>
</sst>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.0000"/>
    <numFmt numFmtId="177" formatCode="0.0000_ "/>
    <numFmt numFmtId="178" formatCode="0.0000_);[Red]\(0.0000\)"/>
    <numFmt numFmtId="179" formatCode="_ * #,##0_ ;_ * \-#,##0_ ;_ * &quot;-&quot;??_ ;_ @_ "/>
    <numFmt numFmtId="180" formatCode="0.00_);[Red]\(0.00\)"/>
    <numFmt numFmtId="181" formatCode="#,##0.00_ "/>
  </numFmts>
  <fonts count="27" x14ac:knownFonts="1">
    <font>
      <sz val="12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indexed="8"/>
      <name val="宋体"/>
      <family val="2"/>
      <scheme val="minor"/>
    </font>
    <font>
      <sz val="1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  <font>
      <sz val="12"/>
      <color theme="1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7"/>
      <name val="微软雅黑"/>
      <family val="2"/>
      <charset val="134"/>
    </font>
    <font>
      <sz val="17"/>
      <color indexed="8"/>
      <name val="微软雅黑"/>
      <family val="2"/>
      <charset val="134"/>
    </font>
    <font>
      <sz val="17"/>
      <color theme="1"/>
      <name val="微软雅黑"/>
      <family val="2"/>
      <charset val="134"/>
    </font>
    <font>
      <sz val="17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DCE6F1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6">
    <xf numFmtId="0" fontId="0" fillId="0" borderId="0"/>
    <xf numFmtId="0" fontId="6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8" fillId="3" borderId="3">
      <alignment horizontal="center" vertical="center" wrapText="1" shrinkToFit="1"/>
      <protection locked="0"/>
    </xf>
    <xf numFmtId="0" fontId="3" fillId="0" borderId="0"/>
    <xf numFmtId="0" fontId="3" fillId="0" borderId="0"/>
    <xf numFmtId="0" fontId="4" fillId="0" borderId="0"/>
    <xf numFmtId="10" fontId="8" fillId="3" borderId="3">
      <alignment horizontal="center" vertical="center" wrapText="1" shrinkToFit="1"/>
      <protection locked="0"/>
    </xf>
    <xf numFmtId="0" fontId="4" fillId="0" borderId="0"/>
    <xf numFmtId="0" fontId="8" fillId="3" borderId="3">
      <alignment horizontal="center" vertical="center" wrapText="1" shrinkToFit="1"/>
      <protection locked="0"/>
    </xf>
    <xf numFmtId="9" fontId="6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3" fillId="0" borderId="0"/>
    <xf numFmtId="0" fontId="4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/>
    <xf numFmtId="0" fontId="13" fillId="0" borderId="0">
      <alignment vertical="center"/>
    </xf>
  </cellStyleXfs>
  <cellXfs count="107">
    <xf numFmtId="0" fontId="0" fillId="0" borderId="0" xfId="0"/>
    <xf numFmtId="10" fontId="0" fillId="0" borderId="0" xfId="2" applyNumberFormat="1" applyFont="1" applyAlignment="1"/>
    <xf numFmtId="0" fontId="3" fillId="0" borderId="0" xfId="8"/>
    <xf numFmtId="179" fontId="10" fillId="0" borderId="1" xfId="43" applyNumberFormat="1" applyFont="1" applyBorder="1" applyAlignment="1"/>
    <xf numFmtId="0" fontId="10" fillId="0" borderId="1" xfId="44" applyFont="1" applyBorder="1" applyAlignment="1">
      <alignment vertical="center"/>
    </xf>
    <xf numFmtId="179" fontId="10" fillId="0" borderId="1" xfId="43" applyNumberFormat="1" applyFont="1" applyBorder="1" applyAlignment="1">
      <alignment vertical="center"/>
    </xf>
    <xf numFmtId="179" fontId="10" fillId="0" borderId="1" xfId="44" applyNumberFormat="1" applyFont="1" applyBorder="1"/>
    <xf numFmtId="10" fontId="10" fillId="0" borderId="1" xfId="44" applyNumberFormat="1" applyFont="1" applyBorder="1" applyAlignment="1">
      <alignment vertical="center"/>
    </xf>
    <xf numFmtId="14" fontId="10" fillId="0" borderId="1" xfId="44" applyNumberFormat="1" applyFont="1" applyBorder="1" applyAlignment="1">
      <alignment horizontal="left" vertical="center"/>
    </xf>
    <xf numFmtId="10" fontId="10" fillId="0" borderId="1" xfId="2" applyNumberFormat="1" applyFont="1" applyBorder="1" applyAlignment="1">
      <alignment horizontal="center" vertical="center"/>
    </xf>
    <xf numFmtId="0" fontId="11" fillId="0" borderId="0" xfId="42" applyFont="1">
      <alignment vertical="center"/>
    </xf>
    <xf numFmtId="14" fontId="10" fillId="0" borderId="1" xfId="44" applyNumberFormat="1" applyFont="1" applyBorder="1" applyAlignment="1">
      <alignment vertical="center"/>
    </xf>
    <xf numFmtId="10" fontId="10" fillId="0" borderId="0" xfId="8" applyNumberFormat="1" applyFont="1"/>
    <xf numFmtId="0" fontId="12" fillId="0" borderId="0" xfId="9" applyFont="1" applyAlignment="1">
      <alignment horizontal="center" vertical="center" wrapText="1"/>
    </xf>
    <xf numFmtId="0" fontId="12" fillId="0" borderId="1" xfId="9" applyFont="1" applyBorder="1" applyAlignment="1">
      <alignment horizontal="center" vertical="center" wrapText="1"/>
    </xf>
    <xf numFmtId="179" fontId="12" fillId="0" borderId="1" xfId="43" applyNumberFormat="1" applyFont="1" applyFill="1" applyBorder="1" applyAlignment="1">
      <alignment horizontal="center" vertical="center" wrapText="1"/>
    </xf>
    <xf numFmtId="179" fontId="14" fillId="0" borderId="1" xfId="43" applyNumberFormat="1" applyFont="1" applyFill="1" applyBorder="1" applyAlignment="1">
      <alignment horizontal="center" vertical="center" wrapText="1"/>
    </xf>
    <xf numFmtId="0" fontId="12" fillId="2" borderId="4" xfId="8" applyFont="1" applyFill="1" applyBorder="1" applyAlignment="1">
      <alignment horizontal="center" vertical="center" wrapText="1"/>
    </xf>
    <xf numFmtId="0" fontId="16" fillId="6" borderId="1" xfId="34" applyFont="1" applyFill="1" applyBorder="1" applyAlignment="1">
      <alignment horizontal="center" vertical="center"/>
    </xf>
    <xf numFmtId="179" fontId="18" fillId="0" borderId="1" xfId="43" applyNumberFormat="1" applyFont="1" applyFill="1" applyBorder="1" applyAlignment="1"/>
    <xf numFmtId="10" fontId="18" fillId="0" borderId="1" xfId="8" applyNumberFormat="1" applyFont="1" applyBorder="1"/>
    <xf numFmtId="43" fontId="18" fillId="0" borderId="1" xfId="43" applyFont="1" applyFill="1" applyBorder="1" applyAlignment="1"/>
    <xf numFmtId="49" fontId="18" fillId="7" borderId="1" xfId="9" applyNumberFormat="1" applyFont="1" applyFill="1" applyBorder="1" applyAlignment="1">
      <alignment vertical="center"/>
    </xf>
    <xf numFmtId="0" fontId="15" fillId="0" borderId="0" xfId="8" applyFont="1"/>
    <xf numFmtId="0" fontId="18" fillId="0" borderId="0" xfId="8" applyFont="1"/>
    <xf numFmtId="0" fontId="18" fillId="0" borderId="0" xfId="34" applyFont="1"/>
    <xf numFmtId="179" fontId="18" fillId="0" borderId="0" xfId="34" applyNumberFormat="1" applyFont="1"/>
    <xf numFmtId="0" fontId="16" fillId="6" borderId="2" xfId="34" applyFont="1" applyFill="1" applyBorder="1" applyAlignment="1">
      <alignment horizontal="center" vertical="center"/>
    </xf>
    <xf numFmtId="43" fontId="18" fillId="0" borderId="0" xfId="34" applyNumberFormat="1" applyFont="1"/>
    <xf numFmtId="10" fontId="18" fillId="0" borderId="0" xfId="2" applyNumberFormat="1" applyFont="1" applyFill="1" applyBorder="1" applyAlignment="1"/>
    <xf numFmtId="177" fontId="18" fillId="0" borderId="0" xfId="34" applyNumberFormat="1" applyFont="1"/>
    <xf numFmtId="0" fontId="20" fillId="0" borderId="0" xfId="34" applyFont="1"/>
    <xf numFmtId="178" fontId="18" fillId="0" borderId="0" xfId="34" applyNumberFormat="1" applyFont="1"/>
    <xf numFmtId="0" fontId="18" fillId="0" borderId="0" xfId="9" applyFont="1"/>
    <xf numFmtId="0" fontId="21" fillId="0" borderId="0" xfId="34" applyFont="1" applyAlignment="1">
      <alignment horizontal="center" vertical="center"/>
    </xf>
    <xf numFmtId="10" fontId="18" fillId="0" borderId="1" xfId="2" applyNumberFormat="1" applyFont="1" applyFill="1" applyBorder="1" applyAlignment="1"/>
    <xf numFmtId="43" fontId="18" fillId="0" borderId="0" xfId="34" applyNumberFormat="1" applyFont="1" applyAlignment="1">
      <alignment vertical="center"/>
    </xf>
    <xf numFmtId="0" fontId="18" fillId="0" borderId="0" xfId="34" applyFont="1" applyAlignment="1">
      <alignment vertical="center"/>
    </xf>
    <xf numFmtId="0" fontId="21" fillId="0" borderId="0" xfId="34" applyFont="1" applyAlignment="1">
      <alignment horizontal="left" vertical="center"/>
    </xf>
    <xf numFmtId="0" fontId="12" fillId="4" borderId="1" xfId="44" applyFont="1" applyFill="1" applyBorder="1" applyAlignment="1">
      <alignment horizontal="center" vertical="top"/>
    </xf>
    <xf numFmtId="0" fontId="10" fillId="0" borderId="0" xfId="44" applyFont="1"/>
    <xf numFmtId="0" fontId="10" fillId="0" borderId="1" xfId="44" applyFont="1" applyBorder="1"/>
    <xf numFmtId="0" fontId="18" fillId="0" borderId="1" xfId="8" applyFont="1" applyBorder="1"/>
    <xf numFmtId="0" fontId="18" fillId="0" borderId="1" xfId="34" applyFont="1" applyBorder="1"/>
    <xf numFmtId="10" fontId="18" fillId="0" borderId="1" xfId="34" applyNumberFormat="1" applyFont="1" applyBorder="1"/>
    <xf numFmtId="0" fontId="19" fillId="0" borderId="0" xfId="8" applyFont="1"/>
    <xf numFmtId="0" fontId="16" fillId="6" borderId="10" xfId="34" applyFont="1" applyFill="1" applyBorder="1" applyAlignment="1">
      <alignment horizontal="center" vertical="center"/>
    </xf>
    <xf numFmtId="0" fontId="16" fillId="6" borderId="11" xfId="34" applyFont="1" applyFill="1" applyBorder="1" applyAlignment="1">
      <alignment horizontal="center" vertical="center"/>
    </xf>
    <xf numFmtId="10" fontId="12" fillId="0" borderId="0" xfId="2" applyNumberFormat="1" applyFont="1" applyFill="1" applyBorder="1" applyAlignment="1">
      <alignment horizontal="center" vertical="center" wrapText="1"/>
    </xf>
    <xf numFmtId="10" fontId="11" fillId="0" borderId="0" xfId="2" applyNumberFormat="1" applyFont="1" applyFill="1" applyBorder="1">
      <alignment vertical="center"/>
    </xf>
    <xf numFmtId="10" fontId="12" fillId="2" borderId="4" xfId="2" applyNumberFormat="1" applyFont="1" applyFill="1" applyBorder="1" applyAlignment="1">
      <alignment horizontal="center" vertical="center" wrapText="1"/>
    </xf>
    <xf numFmtId="10" fontId="11" fillId="0" borderId="0" xfId="2" applyNumberFormat="1" applyFont="1">
      <alignment vertical="center"/>
    </xf>
    <xf numFmtId="0" fontId="18" fillId="0" borderId="10" xfId="8" applyFont="1" applyBorder="1"/>
    <xf numFmtId="179" fontId="18" fillId="0" borderId="10" xfId="43" applyNumberFormat="1" applyFont="1" applyFill="1" applyBorder="1" applyAlignment="1"/>
    <xf numFmtId="10" fontId="18" fillId="0" borderId="10" xfId="8" applyNumberFormat="1" applyFont="1" applyBorder="1"/>
    <xf numFmtId="10" fontId="18" fillId="0" borderId="11" xfId="8" applyNumberFormat="1" applyFont="1" applyBorder="1"/>
    <xf numFmtId="43" fontId="18" fillId="0" borderId="10" xfId="43" applyFont="1" applyFill="1" applyBorder="1" applyAlignment="1"/>
    <xf numFmtId="0" fontId="23" fillId="2" borderId="4" xfId="8" applyFont="1" applyFill="1" applyBorder="1" applyAlignment="1">
      <alignment horizontal="center" vertical="center" wrapText="1"/>
    </xf>
    <xf numFmtId="0" fontId="23" fillId="2" borderId="0" xfId="8" applyFont="1" applyFill="1" applyAlignment="1">
      <alignment horizontal="center" vertical="center" wrapText="1"/>
    </xf>
    <xf numFmtId="0" fontId="24" fillId="0" borderId="0" xfId="42" applyFont="1">
      <alignment vertical="center"/>
    </xf>
    <xf numFmtId="0" fontId="25" fillId="0" borderId="0" xfId="8" applyFont="1"/>
    <xf numFmtId="0" fontId="23" fillId="0" borderId="0" xfId="9" applyFont="1" applyAlignment="1">
      <alignment horizontal="center" vertical="center" wrapText="1"/>
    </xf>
    <xf numFmtId="0" fontId="23" fillId="0" borderId="1" xfId="9" applyFont="1" applyBorder="1" applyAlignment="1">
      <alignment horizontal="center" vertical="center" wrapText="1"/>
    </xf>
    <xf numFmtId="179" fontId="23" fillId="0" borderId="1" xfId="43" applyNumberFormat="1" applyFont="1" applyFill="1" applyBorder="1" applyAlignment="1">
      <alignment horizontal="center" vertical="center" wrapText="1"/>
    </xf>
    <xf numFmtId="179" fontId="26" fillId="0" borderId="1" xfId="43" applyNumberFormat="1" applyFont="1" applyFill="1" applyBorder="1" applyAlignment="1">
      <alignment horizontal="center" vertical="center" wrapText="1"/>
    </xf>
    <xf numFmtId="10" fontId="25" fillId="0" borderId="0" xfId="8" applyNumberFormat="1" applyFont="1"/>
    <xf numFmtId="0" fontId="10" fillId="0" borderId="0" xfId="8" applyFont="1"/>
    <xf numFmtId="0" fontId="10" fillId="0" borderId="1" xfId="8" applyFont="1" applyBorder="1"/>
    <xf numFmtId="10" fontId="10" fillId="0" borderId="1" xfId="8" applyNumberFormat="1" applyFont="1" applyBorder="1"/>
    <xf numFmtId="0" fontId="12" fillId="4" borderId="1" xfId="8" applyFont="1" applyFill="1" applyBorder="1" applyAlignment="1">
      <alignment horizontal="center" vertical="top"/>
    </xf>
    <xf numFmtId="0" fontId="10" fillId="0" borderId="1" xfId="8" applyFont="1" applyBorder="1" applyAlignment="1">
      <alignment vertical="center"/>
    </xf>
    <xf numFmtId="180" fontId="18" fillId="0" borderId="10" xfId="43" applyNumberFormat="1" applyFont="1" applyFill="1" applyBorder="1" applyAlignment="1"/>
    <xf numFmtId="0" fontId="18" fillId="0" borderId="10" xfId="8" applyFont="1" applyBorder="1" applyAlignment="1">
      <alignment horizontal="right"/>
    </xf>
    <xf numFmtId="181" fontId="18" fillId="0" borderId="10" xfId="43" applyNumberFormat="1" applyFont="1" applyFill="1" applyBorder="1" applyAlignment="1"/>
    <xf numFmtId="10" fontId="18" fillId="0" borderId="10" xfId="43" applyNumberFormat="1" applyFont="1" applyFill="1" applyBorder="1" applyAlignment="1"/>
    <xf numFmtId="0" fontId="12" fillId="5" borderId="1" xfId="8" applyFont="1" applyFill="1" applyBorder="1" applyAlignment="1">
      <alignment horizontal="center" vertical="top"/>
    </xf>
    <xf numFmtId="0" fontId="10" fillId="0" borderId="0" xfId="8" applyFont="1" applyAlignment="1">
      <alignment horizontal="left"/>
    </xf>
    <xf numFmtId="0" fontId="22" fillId="0" borderId="0" xfId="8" applyFont="1"/>
    <xf numFmtId="0" fontId="12" fillId="0" borderId="1" xfId="8" applyFont="1" applyBorder="1" applyAlignment="1">
      <alignment horizontal="center" vertical="top"/>
    </xf>
    <xf numFmtId="14" fontId="12" fillId="0" borderId="6" xfId="8" applyNumberFormat="1" applyFont="1" applyBorder="1" applyAlignment="1">
      <alignment horizontal="center" vertical="top"/>
    </xf>
    <xf numFmtId="0" fontId="12" fillId="0" borderId="6" xfId="8" applyFont="1" applyBorder="1" applyAlignment="1">
      <alignment horizontal="center" vertical="top"/>
    </xf>
    <xf numFmtId="14" fontId="3" fillId="0" borderId="0" xfId="8" applyNumberFormat="1"/>
    <xf numFmtId="0" fontId="18" fillId="0" borderId="10" xfId="8" applyFont="1" applyBorder="1" applyAlignment="1">
      <alignment horizontal="left"/>
    </xf>
    <xf numFmtId="179" fontId="18" fillId="0" borderId="10" xfId="43" applyNumberFormat="1" applyFont="1" applyFill="1" applyBorder="1" applyAlignment="1">
      <alignment horizontal="left"/>
    </xf>
    <xf numFmtId="179" fontId="10" fillId="0" borderId="0" xfId="43" applyNumberFormat="1" applyFont="1" applyBorder="1" applyAlignment="1"/>
    <xf numFmtId="179" fontId="18" fillId="0" borderId="10" xfId="43" applyNumberFormat="1" applyFont="1" applyFill="1" applyBorder="1" applyAlignment="1">
      <alignment horizontal="right"/>
    </xf>
    <xf numFmtId="10" fontId="18" fillId="0" borderId="10" xfId="8" applyNumberFormat="1" applyFont="1" applyBorder="1" applyAlignment="1">
      <alignment horizontal="right"/>
    </xf>
    <xf numFmtId="10" fontId="18" fillId="0" borderId="11" xfId="8" applyNumberFormat="1" applyFont="1" applyBorder="1" applyAlignment="1">
      <alignment horizontal="right"/>
    </xf>
    <xf numFmtId="180" fontId="18" fillId="0" borderId="10" xfId="43" applyNumberFormat="1" applyFont="1" applyFill="1" applyBorder="1" applyAlignment="1">
      <alignment horizontal="right"/>
    </xf>
    <xf numFmtId="10" fontId="18" fillId="0" borderId="10" xfId="2" applyNumberFormat="1" applyFont="1" applyFill="1" applyBorder="1" applyAlignment="1"/>
    <xf numFmtId="180" fontId="18" fillId="0" borderId="1" xfId="2" applyNumberFormat="1" applyFont="1" applyFill="1" applyBorder="1" applyAlignment="1"/>
    <xf numFmtId="180" fontId="18" fillId="0" borderId="10" xfId="2" applyNumberFormat="1" applyFont="1" applyFill="1" applyBorder="1" applyAlignment="1"/>
    <xf numFmtId="0" fontId="23" fillId="4" borderId="1" xfId="9" applyFont="1" applyFill="1" applyBorder="1" applyAlignment="1">
      <alignment horizontal="center" vertical="center" wrapText="1"/>
    </xf>
    <xf numFmtId="0" fontId="12" fillId="4" borderId="1" xfId="9" applyFont="1" applyFill="1" applyBorder="1" applyAlignment="1">
      <alignment horizontal="center" vertical="center" wrapText="1"/>
    </xf>
    <xf numFmtId="10" fontId="3" fillId="0" borderId="0" xfId="8" applyNumberFormat="1"/>
    <xf numFmtId="10" fontId="18" fillId="0" borderId="2" xfId="8" applyNumberFormat="1" applyFont="1" applyBorder="1"/>
    <xf numFmtId="0" fontId="23" fillId="4" borderId="1" xfId="9" applyFont="1" applyFill="1" applyBorder="1" applyAlignment="1">
      <alignment horizontal="center" vertical="center" wrapText="1"/>
    </xf>
    <xf numFmtId="0" fontId="12" fillId="4" borderId="1" xfId="9" applyFont="1" applyFill="1" applyBorder="1" applyAlignment="1">
      <alignment horizontal="center" vertical="center" wrapText="1"/>
    </xf>
    <xf numFmtId="0" fontId="12" fillId="4" borderId="2" xfId="9" applyFont="1" applyFill="1" applyBorder="1" applyAlignment="1">
      <alignment horizontal="center" vertical="center" wrapText="1"/>
    </xf>
    <xf numFmtId="0" fontId="12" fillId="4" borderId="9" xfId="9" applyFont="1" applyFill="1" applyBorder="1" applyAlignment="1">
      <alignment horizontal="center" vertical="center" wrapText="1"/>
    </xf>
    <xf numFmtId="0" fontId="12" fillId="4" borderId="5" xfId="9" applyFont="1" applyFill="1" applyBorder="1" applyAlignment="1">
      <alignment horizontal="center" vertical="center" wrapText="1"/>
    </xf>
    <xf numFmtId="0" fontId="12" fillId="5" borderId="2" xfId="8" applyFont="1" applyFill="1" applyBorder="1" applyAlignment="1">
      <alignment horizontal="center" vertical="top"/>
    </xf>
    <xf numFmtId="0" fontId="12" fillId="5" borderId="5" xfId="8" applyFont="1" applyFill="1" applyBorder="1" applyAlignment="1">
      <alignment horizontal="center" vertical="top"/>
    </xf>
    <xf numFmtId="0" fontId="12" fillId="4" borderId="7" xfId="8" applyFont="1" applyFill="1" applyBorder="1" applyAlignment="1">
      <alignment horizontal="center" vertical="center"/>
    </xf>
    <xf numFmtId="0" fontId="12" fillId="4" borderId="8" xfId="8" applyFont="1" applyFill="1" applyBorder="1" applyAlignment="1">
      <alignment horizontal="center" vertical="center"/>
    </xf>
    <xf numFmtId="0" fontId="12" fillId="4" borderId="2" xfId="8" applyFont="1" applyFill="1" applyBorder="1" applyAlignment="1">
      <alignment horizontal="center" vertical="top"/>
    </xf>
    <xf numFmtId="0" fontId="12" fillId="4" borderId="5" xfId="8" applyFont="1" applyFill="1" applyBorder="1" applyAlignment="1">
      <alignment horizontal="center" vertical="top"/>
    </xf>
  </cellXfs>
  <cellStyles count="46">
    <cellStyle name="-1069292921" xfId="11" xr:uid="{00000000-0005-0000-0000-000000000000}"/>
    <cellStyle name="-1096228407" xfId="13" xr:uid="{00000000-0005-0000-0000-000001000000}"/>
    <cellStyle name="187804053" xfId="7" xr:uid="{00000000-0005-0000-0000-000002000000}"/>
    <cellStyle name="百分比" xfId="2" builtinId="5"/>
    <cellStyle name="百分比 2" xfId="3" xr:uid="{00000000-0005-0000-0000-000004000000}"/>
    <cellStyle name="百分比 2 2" xfId="6" xr:uid="{00000000-0005-0000-0000-000005000000}"/>
    <cellStyle name="百分比 3" xfId="14" xr:uid="{00000000-0005-0000-0000-000006000000}"/>
    <cellStyle name="百分比 4" xfId="41" xr:uid="{00000000-0005-0000-0000-000007000000}"/>
    <cellStyle name="常规" xfId="0" builtinId="0"/>
    <cellStyle name="常规 10" xfId="8" xr:uid="{00000000-0005-0000-0000-000009000000}"/>
    <cellStyle name="常规 10 2" xfId="9" xr:uid="{00000000-0005-0000-0000-00000A000000}"/>
    <cellStyle name="常规 11" xfId="10" xr:uid="{00000000-0005-0000-0000-00000B000000}"/>
    <cellStyle name="常规 12" xfId="5" xr:uid="{00000000-0005-0000-0000-00000C000000}"/>
    <cellStyle name="常规 13" xfId="12" xr:uid="{00000000-0005-0000-0000-00000D000000}"/>
    <cellStyle name="常规 14" xfId="15" xr:uid="{00000000-0005-0000-0000-00000E000000}"/>
    <cellStyle name="常规 14 2" xfId="16" xr:uid="{00000000-0005-0000-0000-00000F000000}"/>
    <cellStyle name="常规 14 2 2" xfId="17" xr:uid="{00000000-0005-0000-0000-000010000000}"/>
    <cellStyle name="常规 15" xfId="19" xr:uid="{00000000-0005-0000-0000-000011000000}"/>
    <cellStyle name="常规 15 2" xfId="1" xr:uid="{00000000-0005-0000-0000-000012000000}"/>
    <cellStyle name="常规 16" xfId="21" xr:uid="{00000000-0005-0000-0000-000013000000}"/>
    <cellStyle name="常规 17" xfId="22" xr:uid="{00000000-0005-0000-0000-000014000000}"/>
    <cellStyle name="常规 18" xfId="23" xr:uid="{00000000-0005-0000-0000-000015000000}"/>
    <cellStyle name="常规 19" xfId="24" xr:uid="{00000000-0005-0000-0000-000016000000}"/>
    <cellStyle name="常规 19 2" xfId="25" xr:uid="{00000000-0005-0000-0000-000017000000}"/>
    <cellStyle name="常规 2" xfId="26" xr:uid="{00000000-0005-0000-0000-000018000000}"/>
    <cellStyle name="常规 2 2" xfId="27" xr:uid="{00000000-0005-0000-0000-000019000000}"/>
    <cellStyle name="常规 2 3" xfId="28" xr:uid="{00000000-0005-0000-0000-00001A000000}"/>
    <cellStyle name="常规 2 4" xfId="29" xr:uid="{00000000-0005-0000-0000-00001B000000}"/>
    <cellStyle name="常规 2 4 2" xfId="30" xr:uid="{00000000-0005-0000-0000-00001C000000}"/>
    <cellStyle name="常规 2 4 2 2" xfId="42" xr:uid="{00000000-0005-0000-0000-00001D000000}"/>
    <cellStyle name="常规 20" xfId="18" xr:uid="{00000000-0005-0000-0000-00001E000000}"/>
    <cellStyle name="常规 21" xfId="20" xr:uid="{00000000-0005-0000-0000-00001F000000}"/>
    <cellStyle name="常规 22" xfId="40" xr:uid="{00000000-0005-0000-0000-000020000000}"/>
    <cellStyle name="常规 22 2" xfId="44" xr:uid="{00000000-0005-0000-0000-000021000000}"/>
    <cellStyle name="常规 23" xfId="45" xr:uid="{00000000-0005-0000-0000-000022000000}"/>
    <cellStyle name="常规 3" xfId="31" xr:uid="{00000000-0005-0000-0000-000023000000}"/>
    <cellStyle name="常规 3 2" xfId="32" xr:uid="{00000000-0005-0000-0000-000024000000}"/>
    <cellStyle name="常规 3 3" xfId="33" xr:uid="{00000000-0005-0000-0000-000025000000}"/>
    <cellStyle name="常规 3 3 2" xfId="34" xr:uid="{00000000-0005-0000-0000-000026000000}"/>
    <cellStyle name="常规 4" xfId="35" xr:uid="{00000000-0005-0000-0000-000027000000}"/>
    <cellStyle name="常规 5" xfId="36" xr:uid="{00000000-0005-0000-0000-000028000000}"/>
    <cellStyle name="常规 6" xfId="4" xr:uid="{00000000-0005-0000-0000-000029000000}"/>
    <cellStyle name="常规 7" xfId="37" xr:uid="{00000000-0005-0000-0000-00002A000000}"/>
    <cellStyle name="常规 8" xfId="38" xr:uid="{00000000-0005-0000-0000-00002B000000}"/>
    <cellStyle name="常规 9" xfId="39" xr:uid="{00000000-0005-0000-0000-00002C000000}"/>
    <cellStyle name="千位分隔 2" xfId="43" xr:uid="{00000000-0005-0000-0000-00002D000000}"/>
  </cellStyles>
  <dxfs count="4">
    <dxf>
      <font>
        <color rgb="FF006100"/>
      </font>
      <fill>
        <patternFill>
          <bgColor rgb="FFC6EFCE"/>
        </patternFill>
      </fill>
    </dxf>
    <dxf>
      <font>
        <color rgb="FF2B8C55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colors>
    <mruColors>
      <color rgb="FF2B8C55"/>
      <color rgb="FFC6EFCE"/>
      <color rgb="FF00A249"/>
      <color rgb="FFCEFFCE"/>
      <color rgb="FF93ED9E"/>
      <color rgb="FF68E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早班一区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223643498418101E-2"/>
          <c:y val="0.24793526138594466"/>
          <c:w val="0.88830351807796581"/>
          <c:h val="0.48770501493081758"/>
        </c:manualLayout>
      </c:layout>
      <c:lineChart>
        <c:grouping val="standard"/>
        <c:varyColors val="0"/>
        <c:ser>
          <c:idx val="0"/>
          <c:order val="0"/>
          <c:tx>
            <c:strRef>
              <c:f>区域编辑点击率!$B$2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6061630-3132-4521-9AAF-5FCA67CF5F7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1FC-4F04-A565-47B8A507E7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0E4A58-4252-4D3E-BFF6-955D00A446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1FC-4F04-A565-47B8A507E7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958731-4EDB-449C-B98F-DB0EE0EFE5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1FC-4F04-A565-47B8A507E7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8D4BF0-5418-4DC5-B4EC-6AD35D3A2C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1FC-4F04-A565-47B8A507E7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B0FE94-4709-46B7-9B4C-FE4353103A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1FC-4F04-A565-47B8A507E7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E8A38F-632C-483C-B63B-D695E8A878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1FC-4F04-A565-47B8A507E7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4ACE944-E981-4EAD-A132-7266A1461E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1FC-4F04-A565-47B8A507E7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91A801-B264-4775-9E27-49477BA64B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1FC-4F04-A565-47B8A507E7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227AFB9-13B3-446B-B4DB-9BC5CF2E79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1FC-4F04-A565-47B8A507E7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1E2F707-8603-44B1-B6E6-9B0D3CE2D0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1FC-4F04-A565-47B8A507E7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447C2D-E197-43E8-9287-8350AC9A1A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1FC-4F04-A565-47B8A507E73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94ED54-A866-420C-A9B3-5BD671BCCC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1FC-4F04-A565-47B8A507E73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EF908C-0722-494D-B1A0-85DBEBC20E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1FC-4F04-A565-47B8A507E73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F311F46-B642-4307-B536-B1D2C93AEE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1FC-4F04-A565-47B8A507E73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7AC631-CE4D-4AAD-A335-CE73C9C084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1FC-4F04-A565-47B8A507E73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66C4402-1BD6-495D-B197-03277BA28C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1FC-4F04-A565-47B8A507E73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F5083F3-49BF-4C79-8B6B-F617515B01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1FC-4F04-A565-47B8A507E73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3E0D386-2D0D-4375-B8F6-2D22F2D436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1FC-4F04-A565-47B8A507E73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56427FB-04FE-4F6D-A890-42CFE9CF46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1FC-4F04-A565-47B8A507E73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1FC-4F04-A565-47B8A507E73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1FC-4F04-A565-47B8A507E73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1FC-4F04-A565-47B8A507E73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1FC-4F04-A565-47B8A507E7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1FC-4F04-A565-47B8A507E73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1FC-4F04-A565-47B8A507E73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1FC-4F04-A565-47B8A507E73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1FC-4F04-A565-47B8A507E73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1FC-4F04-A565-47B8A507E73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1FC-4F04-A565-47B8A507E73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1FC-4F04-A565-47B8A507E73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1FC-4F04-A565-47B8A507E73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1FC-4F04-A565-47B8A507E73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1FC-4F04-A565-47B8A507E73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1FC-4F04-A565-47B8A507E73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1FC-4F04-A565-47B8A507E73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1FC-4F04-A565-47B8A507E73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1FC-4F04-A565-47B8A507E73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1FC-4F04-A565-47B8A507E73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1FC-4F04-A565-47B8A507E73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1FC-4F04-A565-47B8A507E73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1FC-4F04-A565-47B8A507E73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1FC-4F04-A565-47B8A507E73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1FC-4F04-A565-47B8A507E73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1FC-4F04-A565-47B8A507E73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1FC-4F04-A565-47B8A507E73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1FC-4F04-A565-47B8A507E73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1FC-4F04-A565-47B8A507E73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1FC-4F04-A565-47B8A507E73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1FC-4F04-A565-47B8A507E73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1FC-4F04-A565-47B8A507E73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1FC-4F04-A565-47B8A507E73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1FC-4F04-A565-47B8A507E73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1FC-4F04-A565-47B8A507E73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1FC-4F04-A565-47B8A507E73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1FC-4F04-A565-47B8A507E73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1FC-4F04-A565-47B8A507E73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1FC-4F04-A565-47B8A507E73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1FC-4F04-A565-47B8A507E73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1FC-4F04-A565-47B8A507E73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1FC-4F04-A565-47B8A507E73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1FC-4F04-A565-47B8A507E73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1FC-4F04-A565-47B8A507E73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1FC-4F04-A565-47B8A507E73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1FC-4F04-A565-47B8A507E73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1FC-4F04-A565-47B8A507E73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1FC-4F04-A565-47B8A507E73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1FC-4F04-A565-47B8A507E73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1FC-4F04-A565-47B8A507E73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1FC-4F04-A565-47B8A507E73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1FC-4F04-A565-47B8A507E73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1FC-4F04-A565-47B8A507E73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1FC-4F04-A565-47B8A507E73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31FC-4F04-A565-47B8A507E73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31FC-4F04-A565-47B8A507E73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1FC-4F04-A565-47B8A507E73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1FC-4F04-A565-47B8A507E73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1FC-4F04-A565-47B8A507E73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1FC-4F04-A565-47B8A507E73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1FC-4F04-A565-47B8A507E73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1FC-4F04-A565-47B8A507E73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1FC-4F04-A565-47B8A507E73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1FC-4F04-A565-47B8A507E73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1FC-4F04-A565-47B8A507E73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31FC-4F04-A565-47B8A507E73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31FC-4F04-A565-47B8A507E73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31FC-4F04-A565-47B8A507E73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31FC-4F04-A565-47B8A507E73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31FC-4F04-A565-47B8A507E73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31FC-4F04-A565-47B8A507E73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31FC-4F04-A565-47B8A507E73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31FC-4F04-A565-47B8A507E73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31FC-4F04-A565-47B8A507E73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31FC-4F04-A565-47B8A507E73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31FC-4F04-A565-47B8A507E73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31FC-4F04-A565-47B8A507E73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31FC-4F04-A565-47B8A507E73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31FC-4F04-A565-47B8A507E73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31FC-4F04-A565-47B8A507E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区域编辑点击率!$A$3:$A$98</c:f>
              <c:numCache>
                <c:formatCode>m/d/yyyy</c:formatCode>
                <c:ptCount val="96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区域编辑点击率!$B$3:$B$98</c:f>
              <c:numCache>
                <c:formatCode>0.00%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区域编辑点击率!$C$3:$C$21</c15:f>
                <c15:dlblRangeCache>
                  <c:ptCount val="19"/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2-31FC-4F04-A565-47B8A507E7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早班二区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区域编辑点击率!$D$2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94D09C8-001F-47FC-91B3-2781E893CC3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9D3-4A14-B2E4-5C79FED3C1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8FBE62-FBFF-4FA9-A471-869B9D5065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9D3-4A14-B2E4-5C79FED3C1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4B7C91-80DB-4B77-B328-6E9CAC31D9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D3-4A14-B2E4-5C79FED3C1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3E9FA5-0429-498D-B687-FE6D1B3BEA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9D3-4A14-B2E4-5C79FED3C1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25C880-408C-4AD1-8E72-FC60F84FB7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D3-4A14-B2E4-5C79FED3C1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4EEE04B-345A-469C-A7EB-97888FD660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D3-4A14-B2E4-5C79FED3C1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681CD1-0FB7-4ED0-A979-178FB4492F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D3-4A14-B2E4-5C79FED3C1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01F5A6F-8EB2-4F2A-886E-CCF0A8C73A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D3-4A14-B2E4-5C79FED3C1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D3783E9-2288-49C1-9025-A6B271D0E9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D3-4A14-B2E4-5C79FED3C1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90809A-115A-4B73-AA3F-8DEB1499CA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D3-4A14-B2E4-5C79FED3C1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60E0AB1-16B3-4566-AD0B-EE313D3046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9D3-4A14-B2E4-5C79FED3C1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C6E84F7-976C-4D0E-9D4A-0474C4BECE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9D3-4A14-B2E4-5C79FED3C17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FF49AD-065A-4C6B-ADC0-E137F0E804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9D3-4A14-B2E4-5C79FED3C17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6BC3E62-F05D-41E2-822C-0049ED72BA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9D3-4A14-B2E4-5C79FED3C17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E70F66A-9797-4265-A7D2-9EC9F1DEBB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9D3-4A14-B2E4-5C79FED3C17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66C8880-6294-4919-B613-2F961CC9C0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9D3-4A14-B2E4-5C79FED3C17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2112C03-7B7E-4E8D-85E6-63926572E7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9D3-4A14-B2E4-5C79FED3C17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6EE7F62-7623-45DE-9487-94EDEBB80F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9D3-4A14-B2E4-5C79FED3C17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581E5D1-43C7-4086-BAF3-7915882A70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9D3-4A14-B2E4-5C79FED3C17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9D3-4A14-B2E4-5C79FED3C17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9D3-4A14-B2E4-5C79FED3C17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9D3-4A14-B2E4-5C79FED3C17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9D3-4A14-B2E4-5C79FED3C17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79D3-4A14-B2E4-5C79FED3C17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79D3-4A14-B2E4-5C79FED3C17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9D3-4A14-B2E4-5C79FED3C17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79D3-4A14-B2E4-5C79FED3C17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79D3-4A14-B2E4-5C79FED3C17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9D3-4A14-B2E4-5C79FED3C17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9D3-4A14-B2E4-5C79FED3C17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79D3-4A14-B2E4-5C79FED3C17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79D3-4A14-B2E4-5C79FED3C17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79D3-4A14-B2E4-5C79FED3C17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79D3-4A14-B2E4-5C79FED3C17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79D3-4A14-B2E4-5C79FED3C17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79D3-4A14-B2E4-5C79FED3C17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79D3-4A14-B2E4-5C79FED3C17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79D3-4A14-B2E4-5C79FED3C17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79D3-4A14-B2E4-5C79FED3C17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79D3-4A14-B2E4-5C79FED3C17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79D3-4A14-B2E4-5C79FED3C17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79D3-4A14-B2E4-5C79FED3C17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79D3-4A14-B2E4-5C79FED3C17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79D3-4A14-B2E4-5C79FED3C17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79D3-4A14-B2E4-5C79FED3C17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79D3-4A14-B2E4-5C79FED3C17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79D3-4A14-B2E4-5C79FED3C17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79D3-4A14-B2E4-5C79FED3C17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79D3-4A14-B2E4-5C79FED3C17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79D3-4A14-B2E4-5C79FED3C17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79D3-4A14-B2E4-5C79FED3C17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79D3-4A14-B2E4-5C79FED3C17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79D3-4A14-B2E4-5C79FED3C17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79D3-4A14-B2E4-5C79FED3C17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79D3-4A14-B2E4-5C79FED3C17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79D3-4A14-B2E4-5C79FED3C17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79D3-4A14-B2E4-5C79FED3C17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79D3-4A14-B2E4-5C79FED3C17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79D3-4A14-B2E4-5C79FED3C17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79D3-4A14-B2E4-5C79FED3C17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79D3-4A14-B2E4-5C79FED3C17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79D3-4A14-B2E4-5C79FED3C17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79D3-4A14-B2E4-5C79FED3C17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79D3-4A14-B2E4-5C79FED3C17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79D3-4A14-B2E4-5C79FED3C17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79D3-4A14-B2E4-5C79FED3C17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79D3-4A14-B2E4-5C79FED3C17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79D3-4A14-B2E4-5C79FED3C17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79D3-4A14-B2E4-5C79FED3C17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79D3-4A14-B2E4-5C79FED3C17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79D3-4A14-B2E4-5C79FED3C17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79D3-4A14-B2E4-5C79FED3C17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79D3-4A14-B2E4-5C79FED3C17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79D3-4A14-B2E4-5C79FED3C17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79D3-4A14-B2E4-5C79FED3C17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79D3-4A14-B2E4-5C79FED3C17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79D3-4A14-B2E4-5C79FED3C17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79D3-4A14-B2E4-5C79FED3C17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79D3-4A14-B2E4-5C79FED3C17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79D3-4A14-B2E4-5C79FED3C17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79D3-4A14-B2E4-5C79FED3C17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79D3-4A14-B2E4-5C79FED3C17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79D3-4A14-B2E4-5C79FED3C17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79D3-4A14-B2E4-5C79FED3C17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79D3-4A14-B2E4-5C79FED3C17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79D3-4A14-B2E4-5C79FED3C17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79D3-4A14-B2E4-5C79FED3C17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79D3-4A14-B2E4-5C79FED3C17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79D3-4A14-B2E4-5C79FED3C17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79D3-4A14-B2E4-5C79FED3C17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79D3-4A14-B2E4-5C79FED3C17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79D3-4A14-B2E4-5C79FED3C17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79D3-4A14-B2E4-5C79FED3C17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79D3-4A14-B2E4-5C79FED3C17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79D3-4A14-B2E4-5C79FED3C17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79D3-4A14-B2E4-5C79FED3C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区域编辑点击率!$A$3:$A$96</c:f>
              <c:numCache>
                <c:formatCode>m/d/yyyy</c:formatCode>
                <c:ptCount val="94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区域编辑点击率!$D$3:$D$96</c:f>
              <c:numCache>
                <c:formatCode>0.00%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区域编辑点击率!$E$3:$E$21</c15:f>
                <c15:dlblRangeCache>
                  <c:ptCount val="19"/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79D3-4A14-B2E4-5C79FED3C1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下午班二区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区域编辑点击率!$D$2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15D4524-AEE7-444E-A5E4-7CFC8E0D1C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AC3-4BED-A4E1-AB27945B5A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5758F9-53DD-4BB3-91D4-2AF55FA881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AC3-4BED-A4E1-AB27945B5A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5F1E95-0EE9-4F8A-9289-BA8BEDABA8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AC3-4BED-A4E1-AB27945B5A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5CFC41-0AFD-4EB8-91F1-2975006770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AC3-4BED-A4E1-AB27945B5A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F18735-D119-457C-998A-D07DF452B1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AC3-4BED-A4E1-AB27945B5A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489976-1865-4065-8566-C27D410783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AC3-4BED-A4E1-AB27945B5A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A5B26EE-899A-4DC7-B2E2-0FD64E1ECE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AC3-4BED-A4E1-AB27945B5A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27D061-535A-4D53-93DC-E69CD16631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AC3-4BED-A4E1-AB27945B5A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AAE3A7A-BB62-4484-8BD4-EEDB7D42A3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AC3-4BED-A4E1-AB27945B5A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4C6504B-5568-403E-A424-0A7785FCBB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AC3-4BED-A4E1-AB27945B5A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2332BD7-DCA4-4F4B-8FE3-497EC3AB88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AC3-4BED-A4E1-AB27945B5A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A540D2-F574-4BAA-B1B4-D5E2FE03FE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AC3-4BED-A4E1-AB27945B5A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9682A90-236D-4B18-ACE3-92931523D9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AC3-4BED-A4E1-AB27945B5A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8F92F2A-2517-4C39-8833-422EEE60A3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AC3-4BED-A4E1-AB27945B5AC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0E3E437-D669-4361-A08D-6522932B43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AC3-4BED-A4E1-AB27945B5AC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23ED6E-6E59-44C3-9EF5-13DE37BB50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AC3-4BED-A4E1-AB27945B5AC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92DEB7C-C66D-4249-9F48-9C52140F0E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AC3-4BED-A4E1-AB27945B5AC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5814DB5-F0D6-4403-A647-E2D2417867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AC3-4BED-A4E1-AB27945B5AC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B403D14-8BA2-4715-8924-901184DE32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AC3-4BED-A4E1-AB27945B5AC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AC3-4BED-A4E1-AB27945B5AC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AC3-4BED-A4E1-AB27945B5AC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AC3-4BED-A4E1-AB27945B5AC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AC3-4BED-A4E1-AB27945B5AC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7AC3-4BED-A4E1-AB27945B5AC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7AC3-4BED-A4E1-AB27945B5AC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AC3-4BED-A4E1-AB27945B5AC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7AC3-4BED-A4E1-AB27945B5AC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7AC3-4BED-A4E1-AB27945B5AC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AC3-4BED-A4E1-AB27945B5AC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AC3-4BED-A4E1-AB27945B5AC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7AC3-4BED-A4E1-AB27945B5AC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7AC3-4BED-A4E1-AB27945B5AC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7AC3-4BED-A4E1-AB27945B5AC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7AC3-4BED-A4E1-AB27945B5AC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7AC3-4BED-A4E1-AB27945B5AC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7AC3-4BED-A4E1-AB27945B5AC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7AC3-4BED-A4E1-AB27945B5AC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7AC3-4BED-A4E1-AB27945B5AC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7AC3-4BED-A4E1-AB27945B5AC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7AC3-4BED-A4E1-AB27945B5AC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7AC3-4BED-A4E1-AB27945B5AC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7AC3-4BED-A4E1-AB27945B5AC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7AC3-4BED-A4E1-AB27945B5AC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7AC3-4BED-A4E1-AB27945B5AC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7AC3-4BED-A4E1-AB27945B5AC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7AC3-4BED-A4E1-AB27945B5AC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7AC3-4BED-A4E1-AB27945B5AC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7AC3-4BED-A4E1-AB27945B5AC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7AC3-4BED-A4E1-AB27945B5AC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7AC3-4BED-A4E1-AB27945B5ACF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7AC3-4BED-A4E1-AB27945B5ACF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7AC3-4BED-A4E1-AB27945B5ACF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7AC3-4BED-A4E1-AB27945B5ACF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7AC3-4BED-A4E1-AB27945B5ACF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7AC3-4BED-A4E1-AB27945B5ACF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7AC3-4BED-A4E1-AB27945B5AC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7AC3-4BED-A4E1-AB27945B5ACF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7AC3-4BED-A4E1-AB27945B5ACF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7AC3-4BED-A4E1-AB27945B5ACF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7AC3-4BED-A4E1-AB27945B5ACF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7AC3-4BED-A4E1-AB27945B5ACF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7AC3-4BED-A4E1-AB27945B5ACF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7AC3-4BED-A4E1-AB27945B5ACF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7AC3-4BED-A4E1-AB27945B5ACF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7AC3-4BED-A4E1-AB27945B5ACF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7AC3-4BED-A4E1-AB27945B5ACF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7AC3-4BED-A4E1-AB27945B5ACF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7AC3-4BED-A4E1-AB27945B5ACF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7AC3-4BED-A4E1-AB27945B5ACF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7AC3-4BED-A4E1-AB27945B5AC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7AC3-4BED-A4E1-AB27945B5ACF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7AC3-4BED-A4E1-AB27945B5ACF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7AC3-4BED-A4E1-AB27945B5ACF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7AC3-4BED-A4E1-AB27945B5ACF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7AC3-4BED-A4E1-AB27945B5ACF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7AC3-4BED-A4E1-AB27945B5ACF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7AC3-4BED-A4E1-AB27945B5ACF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7AC3-4BED-A4E1-AB27945B5ACF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7AC3-4BED-A4E1-AB27945B5ACF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7AC3-4BED-A4E1-AB27945B5ACF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7AC3-4BED-A4E1-AB27945B5ACF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7AC3-4BED-A4E1-AB27945B5ACF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7AC3-4BED-A4E1-AB27945B5AC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7AC3-4BED-A4E1-AB27945B5ACF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7AC3-4BED-A4E1-AB27945B5ACF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7AC3-4BED-A4E1-AB27945B5ACF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7AC3-4BED-A4E1-AB27945B5ACF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7AC3-4BED-A4E1-AB27945B5ACF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7AC3-4BED-A4E1-AB27945B5ACF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7AC3-4BED-A4E1-AB27945B5ACF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7AC3-4BED-A4E1-AB27945B5ACF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7AC3-4BED-A4E1-AB27945B5ACF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7AC3-4BED-A4E1-AB27945B5ACF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7AC3-4BED-A4E1-AB27945B5ACF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7AC3-4BED-A4E1-AB27945B5ACF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7AC3-4BED-A4E1-AB27945B5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区域编辑点击率!$A$3:$A$96</c:f>
              <c:numCache>
                <c:formatCode>m/d/yyyy</c:formatCode>
                <c:ptCount val="94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区域编辑点击率!$J$3:$J$96</c:f>
              <c:numCache>
                <c:formatCode>0.00%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区域编辑点击率!$K$3:$K$21</c15:f>
                <c15:dlblRangeCache>
                  <c:ptCount val="19"/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7AC3-4BED-A4E1-AB27945B5A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下午班一区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223612054464799E-2"/>
          <c:y val="0.19048690530564236"/>
          <c:w val="0.88887540437663726"/>
          <c:h val="0.56561303110904138"/>
        </c:manualLayout>
      </c:layout>
      <c:lineChart>
        <c:grouping val="standard"/>
        <c:varyColors val="0"/>
        <c:ser>
          <c:idx val="0"/>
          <c:order val="0"/>
          <c:tx>
            <c:strRef>
              <c:f>区域编辑点击率!$H$2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BAF181B-094B-464D-80F2-6C7B96DDE4C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3FD-40F3-8531-07072A872D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5257AB-BFA3-4FE7-95B9-11678F7A03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3FD-40F3-8531-07072A872D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BA0416-EE86-446C-AD03-6982114028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3FD-40F3-8531-07072A872D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E3FB45-F64E-4D02-A684-0223B8D4A1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3FD-40F3-8531-07072A872D9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092C19-B7FE-4E62-876F-4A9D8A9D18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3FD-40F3-8531-07072A872D9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197613-658E-488F-88F0-BE847DA2AA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3FD-40F3-8531-07072A872D9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7CCE8F-881D-4126-BCE9-0EA60422D7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3FD-40F3-8531-07072A872D9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97557A-4253-4C78-AB1A-24A9C17104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3FD-40F3-8531-07072A872D9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7785D95-7F4B-4FF6-BB56-F44F0338A9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3FD-40F3-8531-07072A872D9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5E60E2E-A555-49D2-8DFC-BBD6EE6853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3FD-40F3-8531-07072A872D9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B18D86-90C6-46B0-93EB-7745691102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3FD-40F3-8531-07072A872D9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604444-3FB5-43DE-BC66-DD5ED04894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3FD-40F3-8531-07072A872D9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7F6E5B-34A5-43A4-9221-798D352F2F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3FD-40F3-8531-07072A872D9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EFBC95-EF7B-4482-BD08-AA24917A14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3FD-40F3-8531-07072A872D9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2D8F294-FFB3-4137-AF2A-34547F6EC9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3FD-40F3-8531-07072A872D9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6635D95-839D-479F-8795-694FE77666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3FD-40F3-8531-07072A872D9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0E57F3E-471D-43C3-BBE3-11831C1E66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3FD-40F3-8531-07072A872D9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F517DC2-0AFA-4ED5-8544-F1CDD4B656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3FD-40F3-8531-07072A872D9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B440CC-ECA6-46FE-ACDD-73D86ECE22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3FD-40F3-8531-07072A872D9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3FD-40F3-8531-07072A872D9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3FD-40F3-8531-07072A872D9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3FD-40F3-8531-07072A872D9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3FD-40F3-8531-07072A872D9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3FD-40F3-8531-07072A872D9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3FD-40F3-8531-07072A872D9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3FD-40F3-8531-07072A872D9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3FD-40F3-8531-07072A872D9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3FD-40F3-8531-07072A872D9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3FD-40F3-8531-07072A872D9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3FD-40F3-8531-07072A872D9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3FD-40F3-8531-07072A872D9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3FD-40F3-8531-07072A872D9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3FD-40F3-8531-07072A872D9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3FD-40F3-8531-07072A872D9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3FD-40F3-8531-07072A872D9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3FD-40F3-8531-07072A872D9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3FD-40F3-8531-07072A872D9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3FD-40F3-8531-07072A872D9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3FD-40F3-8531-07072A872D9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3FD-40F3-8531-07072A872D9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3FD-40F3-8531-07072A872D9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3FD-40F3-8531-07072A872D9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3FD-40F3-8531-07072A872D9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3FD-40F3-8531-07072A872D9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3FD-40F3-8531-07072A872D9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3FD-40F3-8531-07072A872D9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3FD-40F3-8531-07072A872D9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3FD-40F3-8531-07072A872D9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3FD-40F3-8531-07072A872D9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3FD-40F3-8531-07072A872D9F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3FD-40F3-8531-07072A872D9F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3FD-40F3-8531-07072A872D9F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3FD-40F3-8531-07072A872D9F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3FD-40F3-8531-07072A872D9F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3FD-40F3-8531-07072A872D9F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3FD-40F3-8531-07072A872D9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3FD-40F3-8531-07072A872D9F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3FD-40F3-8531-07072A872D9F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3FD-40F3-8531-07072A872D9F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3FD-40F3-8531-07072A872D9F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3FD-40F3-8531-07072A872D9F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3FD-40F3-8531-07072A872D9F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3FD-40F3-8531-07072A872D9F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3FD-40F3-8531-07072A872D9F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3FD-40F3-8531-07072A872D9F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3FD-40F3-8531-07072A872D9F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3FD-40F3-8531-07072A872D9F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3FD-40F3-8531-07072A872D9F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3FD-40F3-8531-07072A872D9F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3FD-40F3-8531-07072A872D9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3FD-40F3-8531-07072A872D9F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3FD-40F3-8531-07072A872D9F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33FD-40F3-8531-07072A872D9F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33FD-40F3-8531-07072A872D9F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3FD-40F3-8531-07072A872D9F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3FD-40F3-8531-07072A872D9F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3FD-40F3-8531-07072A872D9F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3FD-40F3-8531-07072A872D9F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3FD-40F3-8531-07072A872D9F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3FD-40F3-8531-07072A872D9F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3FD-40F3-8531-07072A872D9F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3FD-40F3-8531-07072A872D9F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3FD-40F3-8531-07072A872D9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33FD-40F3-8531-07072A872D9F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33FD-40F3-8531-07072A872D9F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33FD-40F3-8531-07072A872D9F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33FD-40F3-8531-07072A872D9F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33FD-40F3-8531-07072A872D9F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33FD-40F3-8531-07072A872D9F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33FD-40F3-8531-07072A872D9F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33FD-40F3-8531-07072A872D9F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33FD-40F3-8531-07072A872D9F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33FD-40F3-8531-07072A872D9F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33FD-40F3-8531-07072A872D9F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33FD-40F3-8531-07072A872D9F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33FD-40F3-8531-07072A872D9F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33FD-40F3-8531-07072A872D9F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33FD-40F3-8531-07072A872D9F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33FD-40F3-8531-07072A872D9F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33FD-40F3-8531-07072A872D9F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33FD-40F3-8531-07072A872D9F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33FD-40F3-8531-07072A872D9F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33FD-40F3-8531-07072A872D9F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33FD-40F3-8531-07072A872D9F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33FD-40F3-8531-07072A872D9F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33FD-40F3-8531-07072A872D9F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33FD-40F3-8531-07072A872D9F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33FD-40F3-8531-07072A872D9F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33FD-40F3-8531-07072A872D9F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33FD-40F3-8531-07072A872D9F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33FD-40F3-8531-07072A872D9F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33FD-40F3-8531-07072A872D9F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33FD-40F3-8531-07072A872D9F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33FD-40F3-8531-07072A872D9F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33FD-40F3-8531-07072A872D9F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33FD-40F3-8531-07072A872D9F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33FD-40F3-8531-07072A872D9F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33FD-40F3-8531-07072A872D9F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33FD-40F3-8531-07072A872D9F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33FD-40F3-8531-07072A872D9F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33FD-40F3-8531-07072A872D9F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33FD-40F3-8531-07072A872D9F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33FD-40F3-8531-07072A872D9F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33FD-40F3-8531-07072A872D9F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33FD-40F3-8531-07072A872D9F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33FD-40F3-8531-07072A872D9F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33FD-40F3-8531-07072A872D9F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33FD-40F3-8531-07072A872D9F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33FD-40F3-8531-07072A872D9F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33FD-40F3-8531-07072A872D9F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33FD-40F3-8531-07072A872D9F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33FD-40F3-8531-07072A872D9F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33FD-40F3-8531-07072A872D9F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33FD-40F3-8531-07072A872D9F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33FD-40F3-8531-07072A872D9F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33FD-40F3-8531-07072A872D9F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33FD-40F3-8531-07072A872D9F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33FD-40F3-8531-07072A872D9F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33FD-40F3-8531-07072A872D9F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33FD-40F3-8531-07072A872D9F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C-33FD-40F3-8531-07072A872D9F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33FD-40F3-8531-07072A872D9F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33FD-40F3-8531-07072A872D9F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33FD-40F3-8531-07072A872D9F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33FD-40F3-8531-07072A872D9F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33FD-40F3-8531-07072A872D9F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33FD-40F3-8531-07072A872D9F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33FD-40F3-8531-07072A872D9F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33FD-40F3-8531-07072A872D9F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33FD-40F3-8531-07072A872D9F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33FD-40F3-8531-07072A872D9F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33FD-40F3-8531-07072A872D9F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33FD-40F3-8531-07072A872D9F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33FD-40F3-8531-07072A872D9F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33FD-40F3-8531-07072A872D9F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33FD-40F3-8531-07072A872D9F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33FD-40F3-8531-07072A872D9F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33FD-40F3-8531-07072A872D9F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33FD-40F3-8531-07072A872D9F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33FD-40F3-8531-07072A872D9F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33FD-40F3-8531-07072A872D9F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33FD-40F3-8531-07072A872D9F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33FD-40F3-8531-07072A872D9F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33FD-40F3-8531-07072A872D9F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33FD-40F3-8531-07072A872D9F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33FD-40F3-8531-07072A872D9F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33FD-40F3-8531-07072A872D9F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33FD-40F3-8531-07072A872D9F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33FD-40F3-8531-07072A872D9F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33FD-40F3-8531-07072A872D9F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33FD-40F3-8531-07072A872D9F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B-33FD-40F3-8531-07072A872D9F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33FD-40F3-8531-07072A872D9F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33FD-40F3-8531-07072A872D9F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33FD-40F3-8531-07072A872D9F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33FD-40F3-8531-07072A872D9F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33FD-40F3-8531-07072A872D9F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33FD-40F3-8531-07072A872D9F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33FD-40F3-8531-07072A872D9F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33FD-40F3-8531-07072A872D9F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33FD-40F3-8531-07072A872D9F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33FD-40F3-8531-07072A872D9F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33FD-40F3-8531-07072A872D9F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33FD-40F3-8531-07072A872D9F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33FD-40F3-8531-07072A872D9F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33FD-40F3-8531-07072A872D9F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33FD-40F3-8531-07072A872D9F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33FD-40F3-8531-07072A872D9F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33FD-40F3-8531-07072A872D9F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33FD-40F3-8531-07072A872D9F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33FD-40F3-8531-07072A872D9F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33FD-40F3-8531-07072A872D9F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33FD-40F3-8531-07072A872D9F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33FD-40F3-8531-07072A872D9F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33FD-40F3-8531-07072A872D9F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33FD-40F3-8531-07072A872D9F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33FD-40F3-8531-07072A872D9F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33FD-40F3-8531-07072A872D9F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33FD-40F3-8531-07072A872D9F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33FD-40F3-8531-07072A872D9F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33FD-40F3-8531-07072A872D9F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9-33FD-40F3-8531-07072A872D9F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33FD-40F3-8531-07072A872D9F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33FD-40F3-8531-07072A872D9F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33FD-40F3-8531-07072A872D9F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33FD-40F3-8531-07072A872D9F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33FD-40F3-8531-07072A872D9F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33FD-40F3-8531-07072A872D9F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33FD-40F3-8531-07072A872D9F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33FD-40F3-8531-07072A872D9F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33FD-40F3-8531-07072A872D9F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33FD-40F3-8531-07072A872D9F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33FD-40F3-8531-07072A872D9F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33FD-40F3-8531-07072A872D9F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33FD-40F3-8531-07072A872D9F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33FD-40F3-8531-07072A872D9F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33FD-40F3-8531-07072A872D9F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33FD-40F3-8531-07072A872D9F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33FD-40F3-8531-07072A872D9F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33FD-40F3-8531-07072A872D9F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33FD-40F3-8531-07072A872D9F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33FD-40F3-8531-07072A872D9F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33FD-40F3-8531-07072A872D9F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33FD-40F3-8531-07072A872D9F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33FD-40F3-8531-07072A872D9F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33FD-40F3-8531-07072A872D9F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33FD-40F3-8531-07072A872D9F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33FD-40F3-8531-07072A872D9F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33FD-40F3-8531-07072A872D9F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33FD-40F3-8531-07072A872D9F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33FD-40F3-8531-07072A872D9F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33FD-40F3-8531-07072A872D9F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8-33FD-40F3-8531-07072A872D9F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33FD-40F3-8531-07072A872D9F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33FD-40F3-8531-07072A872D9F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33FD-40F3-8531-07072A872D9F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33FD-40F3-8531-07072A872D9F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33FD-40F3-8531-07072A872D9F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33FD-40F3-8531-07072A872D9F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33FD-40F3-8531-07072A872D9F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33FD-40F3-8531-07072A872D9F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33FD-40F3-8531-07072A872D9F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33FD-40F3-8531-07072A872D9F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33FD-40F3-8531-07072A872D9F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33FD-40F3-8531-07072A872D9F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33FD-40F3-8531-07072A872D9F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33FD-40F3-8531-07072A872D9F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33FD-40F3-8531-07072A872D9F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33FD-40F3-8531-07072A872D9F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33FD-40F3-8531-07072A872D9F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33FD-40F3-8531-07072A872D9F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33FD-40F3-8531-07072A872D9F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33FD-40F3-8531-07072A872D9F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33FD-40F3-8531-07072A872D9F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33FD-40F3-8531-07072A872D9F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33FD-40F3-8531-07072A872D9F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33FD-40F3-8531-07072A872D9F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33FD-40F3-8531-07072A872D9F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33FD-40F3-8531-07072A872D9F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33FD-40F3-8531-07072A872D9F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33FD-40F3-8531-07072A872D9F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33FD-40F3-8531-07072A872D9F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33FD-40F3-8531-07072A872D9F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7-33FD-40F3-8531-07072A872D9F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33FD-40F3-8531-07072A872D9F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33FD-40F3-8531-07072A872D9F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33FD-40F3-8531-07072A872D9F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33FD-40F3-8531-07072A872D9F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33FD-40F3-8531-07072A872D9F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33FD-40F3-8531-07072A872D9F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33FD-40F3-8531-07072A872D9F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33FD-40F3-8531-07072A872D9F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33FD-40F3-8531-07072A872D9F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33FD-40F3-8531-07072A872D9F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33FD-40F3-8531-07072A872D9F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33FD-40F3-8531-07072A872D9F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33FD-40F3-8531-07072A872D9F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33FD-40F3-8531-07072A872D9F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33FD-40F3-8531-07072A872D9F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33FD-40F3-8531-07072A872D9F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33FD-40F3-8531-07072A872D9F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33FD-40F3-8531-07072A872D9F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33FD-40F3-8531-07072A872D9F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33FD-40F3-8531-07072A872D9F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33FD-40F3-8531-07072A872D9F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33FD-40F3-8531-07072A872D9F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33FD-40F3-8531-07072A872D9F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33FD-40F3-8531-07072A872D9F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33FD-40F3-8531-07072A872D9F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33FD-40F3-8531-07072A872D9F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33FD-40F3-8531-07072A872D9F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33FD-40F3-8531-07072A872D9F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33FD-40F3-8531-07072A872D9F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5-33FD-40F3-8531-07072A872D9F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33FD-40F3-8531-07072A872D9F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33FD-40F3-8531-07072A872D9F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33FD-40F3-8531-07072A872D9F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33FD-40F3-8531-07072A872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区域编辑点击率!$A$3:$A$98</c:f>
              <c:numCache>
                <c:formatCode>m/d/yyyy</c:formatCode>
                <c:ptCount val="96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区域编辑点击率!$H$3:$H$298</c:f>
              <c:numCache>
                <c:formatCode>0.00%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区域编辑点击率!$I$3:$I$21</c15:f>
                <c15:dlblRangeCache>
                  <c:ptCount val="19"/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A-33FD-40F3-8531-07072A872D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下午班所有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区域编辑点击率!$F$2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C0B256B-9CCA-421A-B7E5-9D4CCFA696E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5CE-4E54-9269-492EBEFDA3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ECECE9-AA90-40B0-976D-D69CC2F990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5CE-4E54-9269-492EBEFDA3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ECF965-A43D-49D1-A391-398CC57EBF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5CE-4E54-9269-492EBEFDA3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494957-88E0-480A-B649-7547B9C1B4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5CE-4E54-9269-492EBEFDA3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9321E0-D140-40AB-9CA8-85D606DC94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5CE-4E54-9269-492EBEFDA3F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DCEACF-8271-4ED7-9D59-CB7ACB0521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5CE-4E54-9269-492EBEFDA3F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0AA1BA-1191-40E4-969A-3CE6CF24D8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5CE-4E54-9269-492EBEFDA3F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2D730B-9744-4F91-9B2C-AA59006AAE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5CE-4E54-9269-492EBEFDA3F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577011-1A1D-4FC2-9B44-4CF27F3A2B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CE-4E54-9269-492EBEFDA3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6185B8A-CC7B-46E6-8ED1-A89F70D631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5CE-4E54-9269-492EBEFDA3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A17186D-70D6-4C3C-8217-48E687AC37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5CE-4E54-9269-492EBEFDA3F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F1E775-5192-4914-AFB6-A17022A63C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5CE-4E54-9269-492EBEFDA3F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CF6F268-089E-404F-8B39-015DA3BB78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5CE-4E54-9269-492EBEFDA3F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086A308-BDC1-4B30-993A-945FCF1802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CE-4E54-9269-492EBEFDA3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BA166E6-C2B1-4152-A684-CA59D0C3EB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5CE-4E54-9269-492EBEFDA3F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A35FDC-5063-41C2-860B-5F9359B115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5CE-4E54-9269-492EBEFDA3F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32F735-E91A-4275-BB18-7509B14E04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5CE-4E54-9269-492EBEFDA3F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465423E-95CA-4F4B-8F07-485AECF414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5CE-4E54-9269-492EBEFDA3F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5262B76-A4B6-4691-9777-56311B0203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CE-4E54-9269-492EBEFDA3F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5CE-4E54-9269-492EBEFDA3F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5CE-4E54-9269-492EBEFDA3F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5CE-4E54-9269-492EBEFDA3F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5CE-4E54-9269-492EBEFDA3F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5CE-4E54-9269-492EBEFDA3F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5CE-4E54-9269-492EBEFDA3F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5CE-4E54-9269-492EBEFDA3F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E5CE-4E54-9269-492EBEFDA3F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5CE-4E54-9269-492EBEFDA3F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5CE-4E54-9269-492EBEFDA3F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5CE-4E54-9269-492EBEFDA3F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E5CE-4E54-9269-492EBEFDA3F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5CE-4E54-9269-492EBEFDA3F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E5CE-4E54-9269-492EBEFDA3F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5CE-4E54-9269-492EBEFDA3F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E5CE-4E54-9269-492EBEFDA3F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5CE-4E54-9269-492EBEFDA3F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E5CE-4E54-9269-492EBEFDA3F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5CE-4E54-9269-492EBEFDA3F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E5CE-4E54-9269-492EBEFDA3F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E5CE-4E54-9269-492EBEFDA3F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E5CE-4E54-9269-492EBEFDA3F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E5CE-4E54-9269-492EBEFDA3F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E5CE-4E54-9269-492EBEFDA3F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E5CE-4E54-9269-492EBEFDA3F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E5CE-4E54-9269-492EBEFDA3F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E5CE-4E54-9269-492EBEFDA3F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E5CE-4E54-9269-492EBEFDA3F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E5CE-4E54-9269-492EBEFDA3F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E5CE-4E54-9269-492EBEFDA3F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E5CE-4E54-9269-492EBEFDA3F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E5CE-4E54-9269-492EBEFDA3F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E5CE-4E54-9269-492EBEFDA3F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E5CE-4E54-9269-492EBEFDA3F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E5CE-4E54-9269-492EBEFDA3F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E5CE-4E54-9269-492EBEFDA3F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E5CE-4E54-9269-492EBEFDA3F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E5CE-4E54-9269-492EBEFDA3F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E5CE-4E54-9269-492EBEFDA3F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E5CE-4E54-9269-492EBEFDA3F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E5CE-4E54-9269-492EBEFDA3F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E5CE-4E54-9269-492EBEFDA3F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E5CE-4E54-9269-492EBEFDA3F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E5CE-4E54-9269-492EBEFDA3F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E5CE-4E54-9269-492EBEFDA3F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E5CE-4E54-9269-492EBEFDA3F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E5CE-4E54-9269-492EBEFDA3F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E5CE-4E54-9269-492EBEFDA3F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E5CE-4E54-9269-492EBEFDA3F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E5CE-4E54-9269-492EBEFDA3F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E5CE-4E54-9269-492EBEFDA3F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E5CE-4E54-9269-492EBEFDA3F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E5CE-4E54-9269-492EBEFDA3F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E5CE-4E54-9269-492EBEFDA3F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E5CE-4E54-9269-492EBEFDA3F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E5CE-4E54-9269-492EBEFDA3F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E5CE-4E54-9269-492EBEFDA3F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E5CE-4E54-9269-492EBEFDA3F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E5CE-4E54-9269-492EBEFDA3F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E5CE-4E54-9269-492EBEFDA3F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E5CE-4E54-9269-492EBEFDA3F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E5CE-4E54-9269-492EBEFDA3F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E5CE-4E54-9269-492EBEFDA3F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E5CE-4E54-9269-492EBEFDA3F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E5CE-4E54-9269-492EBEFDA3F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E5CE-4E54-9269-492EBEFDA3F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E5CE-4E54-9269-492EBEFDA3F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E5CE-4E54-9269-492EBEFDA3F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E5CE-4E54-9269-492EBEFDA3F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E5CE-4E54-9269-492EBEFDA3F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E5CE-4E54-9269-492EBEFDA3F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E5CE-4E54-9269-492EBEFDA3F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E5CE-4E54-9269-492EBEFDA3F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E5CE-4E54-9269-492EBEFDA3F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E5CE-4E54-9269-492EBEFDA3F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E5CE-4E54-9269-492EBEFDA3F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E5CE-4E54-9269-492EBEFDA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区域编辑点击率!$A$3:$A$96</c:f>
              <c:numCache>
                <c:formatCode>m/d/yyyy</c:formatCode>
                <c:ptCount val="94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区域编辑点击率!$L$3:$L$96</c:f>
              <c:numCache>
                <c:formatCode>0.00%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区域编辑点击率!$M$3:$M$21</c15:f>
                <c15:dlblRangeCache>
                  <c:ptCount val="19"/>
                </c15:dlblRangeCache>
              </c15:datalabelsRange>
            </c:ext>
            <c:ext xmlns:c16="http://schemas.microsoft.com/office/drawing/2014/chart" uri="{C3380CC4-5D6E-409C-BE32-E72D297353CC}">
              <c16:uniqueId val="{00000060-E5CE-4E54-9269-492EBEFDA3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早班所有</a:t>
            </a:r>
            <a:r>
              <a:rPr lang="en-US" altLang="zh-CN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-CTR</a:t>
            </a:r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变化趋势</a:t>
            </a:r>
            <a:endParaRPr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64447863032741"/>
          <c:y val="0.22054551670579819"/>
          <c:w val="0.86829551067995436"/>
          <c:h val="0.56156364550244187"/>
        </c:manualLayout>
      </c:layout>
      <c:lineChart>
        <c:grouping val="standard"/>
        <c:varyColors val="0"/>
        <c:ser>
          <c:idx val="0"/>
          <c:order val="0"/>
          <c:tx>
            <c:strRef>
              <c:f>区域编辑点击率!$F$2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1F1F6BB-B647-4763-8F3A-1EE106C11E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74B-4BD3-98A8-0B1CB2BA93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6F5616-38CC-4FD5-8B6D-0F81131C63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B-4BD3-98A8-0B1CB2BA93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FC824A-D0D0-4C72-AC43-2A87190A31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B-4BD3-98A8-0B1CB2BA93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EAB429-C0A0-4955-AD79-2B91E75421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B-4BD3-98A8-0B1CB2BA93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E2F2EE8-60B5-4C7E-A3D5-F75F9A36A6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74B-4BD3-98A8-0B1CB2BA93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D12BAC9-BA36-407A-9632-3C85C8403C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4B-4BD3-98A8-0B1CB2BA93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43A2734-3EE2-4AA2-A93B-545FD24535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74B-4BD3-98A8-0B1CB2BA93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DBCDFD-C365-4CD7-B4C5-C2246E869F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4B-4BD3-98A8-0B1CB2BA93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5FFA470-38F9-4BC8-8B6E-9CC7CCA939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74B-4BD3-98A8-0B1CB2BA93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ADA271D-7BFA-452C-BD22-781A161881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4B-4BD3-98A8-0B1CB2BA93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87E4E3-8D7D-4BED-B04D-24563047C5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74B-4BD3-98A8-0B1CB2BA93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EA543C-BEEB-452E-A070-E3C621AE27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74B-4BD3-98A8-0B1CB2BA93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F259AB-BBD1-4525-8A0A-B7B5249BD3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74B-4BD3-98A8-0B1CB2BA93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F08A68C-38D1-443B-96AC-976EBF8F91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74B-4BD3-98A8-0B1CB2BA93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403A51-5DBB-4CDE-B9FB-7CD76A195F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74B-4BD3-98A8-0B1CB2BA93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600D166-50BC-49C8-A8A7-97668079A6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74B-4BD3-98A8-0B1CB2BA93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247D490-589E-4C61-A40D-30F99A8807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74B-4BD3-98A8-0B1CB2BA93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D3D74EC-FA64-4099-A881-E59D0C10ED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74B-4BD3-98A8-0B1CB2BA93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DC087E6-39C8-428E-8EDE-D3E85E275D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74B-4BD3-98A8-0B1CB2BA93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74B-4BD3-98A8-0B1CB2BA93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74B-4BD3-98A8-0B1CB2BA93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74B-4BD3-98A8-0B1CB2BA93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74B-4BD3-98A8-0B1CB2BA93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774B-4BD3-98A8-0B1CB2BA935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774B-4BD3-98A8-0B1CB2BA93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74B-4BD3-98A8-0B1CB2BA935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774B-4BD3-98A8-0B1CB2BA935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774B-4BD3-98A8-0B1CB2BA935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74B-4BD3-98A8-0B1CB2BA935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74B-4BD3-98A8-0B1CB2BA935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774B-4BD3-98A8-0B1CB2BA935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774B-4BD3-98A8-0B1CB2BA935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774B-4BD3-98A8-0B1CB2BA935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774B-4BD3-98A8-0B1CB2BA935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774B-4BD3-98A8-0B1CB2BA935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774B-4BD3-98A8-0B1CB2BA935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774B-4BD3-98A8-0B1CB2BA935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774B-4BD3-98A8-0B1CB2BA935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774B-4BD3-98A8-0B1CB2BA935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774B-4BD3-98A8-0B1CB2BA935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774B-4BD3-98A8-0B1CB2BA935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774B-4BD3-98A8-0B1CB2BA935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774B-4BD3-98A8-0B1CB2BA935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774B-4BD3-98A8-0B1CB2BA935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774B-4BD3-98A8-0B1CB2BA935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774B-4BD3-98A8-0B1CB2BA935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774B-4BD3-98A8-0B1CB2BA935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774B-4BD3-98A8-0B1CB2BA935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774B-4BD3-98A8-0B1CB2BA935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774B-4BD3-98A8-0B1CB2BA935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774B-4BD3-98A8-0B1CB2BA935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774B-4BD3-98A8-0B1CB2BA935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774B-4BD3-98A8-0B1CB2BA935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774B-4BD3-98A8-0B1CB2BA935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774B-4BD3-98A8-0B1CB2BA935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774B-4BD3-98A8-0B1CB2BA935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774B-4BD3-98A8-0B1CB2BA935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774B-4BD3-98A8-0B1CB2BA935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774B-4BD3-98A8-0B1CB2BA935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774B-4BD3-98A8-0B1CB2BA935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774B-4BD3-98A8-0B1CB2BA935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774B-4BD3-98A8-0B1CB2BA935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774B-4BD3-98A8-0B1CB2BA935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774B-4BD3-98A8-0B1CB2BA935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774B-4BD3-98A8-0B1CB2BA935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774B-4BD3-98A8-0B1CB2BA935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774B-4BD3-98A8-0B1CB2BA935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774B-4BD3-98A8-0B1CB2BA935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774B-4BD3-98A8-0B1CB2BA935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774B-4BD3-98A8-0B1CB2BA935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774B-4BD3-98A8-0B1CB2BA935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774B-4BD3-98A8-0B1CB2BA935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774B-4BD3-98A8-0B1CB2BA935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774B-4BD3-98A8-0B1CB2BA935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774B-4BD3-98A8-0B1CB2BA935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774B-4BD3-98A8-0B1CB2BA935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774B-4BD3-98A8-0B1CB2BA935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774B-4BD3-98A8-0B1CB2BA935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774B-4BD3-98A8-0B1CB2BA935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774B-4BD3-98A8-0B1CB2BA935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774B-4BD3-98A8-0B1CB2BA935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774B-4BD3-98A8-0B1CB2BA935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774B-4BD3-98A8-0B1CB2BA935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774B-4BD3-98A8-0B1CB2BA935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774B-4BD3-98A8-0B1CB2BA935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774B-4BD3-98A8-0B1CB2BA935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774B-4BD3-98A8-0B1CB2BA935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774B-4BD3-98A8-0B1CB2BA935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774B-4BD3-98A8-0B1CB2BA935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774B-4BD3-98A8-0B1CB2BA935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774B-4BD3-98A8-0B1CB2BA935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774B-4BD3-98A8-0B1CB2BA935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774B-4BD3-98A8-0B1CB2BA935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774B-4BD3-98A8-0B1CB2BA935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774B-4BD3-98A8-0B1CB2BA935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774B-4BD3-98A8-0B1CB2BA935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774B-4BD3-98A8-0B1CB2BA935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774B-4BD3-98A8-0B1CB2BA935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774B-4BD3-98A8-0B1CB2BA935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774B-4BD3-98A8-0B1CB2BA935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774B-4BD3-98A8-0B1CB2BA935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774B-4BD3-98A8-0B1CB2BA93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区域编辑点击率!$A$3:$A$122</c:f>
              <c:numCache>
                <c:formatCode>m/d/yyyy</c:formatCode>
                <c:ptCount val="120"/>
                <c:pt idx="0">
                  <c:v>45471</c:v>
                </c:pt>
                <c:pt idx="1">
                  <c:v>45472</c:v>
                </c:pt>
                <c:pt idx="2">
                  <c:v>45473</c:v>
                </c:pt>
                <c:pt idx="3">
                  <c:v>45474</c:v>
                </c:pt>
                <c:pt idx="4">
                  <c:v>45475</c:v>
                </c:pt>
                <c:pt idx="5">
                  <c:v>45476</c:v>
                </c:pt>
                <c:pt idx="6">
                  <c:v>45477</c:v>
                </c:pt>
                <c:pt idx="7">
                  <c:v>45478</c:v>
                </c:pt>
                <c:pt idx="8">
                  <c:v>45479</c:v>
                </c:pt>
                <c:pt idx="9">
                  <c:v>45480</c:v>
                </c:pt>
                <c:pt idx="10">
                  <c:v>45481</c:v>
                </c:pt>
                <c:pt idx="11">
                  <c:v>45482</c:v>
                </c:pt>
                <c:pt idx="12">
                  <c:v>45483</c:v>
                </c:pt>
                <c:pt idx="13">
                  <c:v>45484</c:v>
                </c:pt>
                <c:pt idx="14">
                  <c:v>45485</c:v>
                </c:pt>
                <c:pt idx="15">
                  <c:v>45486</c:v>
                </c:pt>
                <c:pt idx="16">
                  <c:v>45487</c:v>
                </c:pt>
                <c:pt idx="17">
                  <c:v>45488</c:v>
                </c:pt>
                <c:pt idx="18">
                  <c:v>45489</c:v>
                </c:pt>
              </c:numCache>
            </c:numRef>
          </c:cat>
          <c:val>
            <c:numRef>
              <c:f>区域编辑点击率!$F$3:$F$102</c:f>
              <c:numCache>
                <c:formatCode>0.00%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区域编辑点击率!$G$3:$G$101</c15:f>
                <c15:dlblRangeCache>
                  <c:ptCount val="99"/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6-774B-4BD3-98A8-0B1CB2BA93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339360"/>
        <c:axId val="1805323552"/>
      </c:lineChart>
      <c:dateAx>
        <c:axId val="18053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23552"/>
        <c:crosses val="autoZero"/>
        <c:auto val="1"/>
        <c:lblOffset val="100"/>
        <c:baseTimeUnit val="days"/>
      </c:dateAx>
      <c:valAx>
        <c:axId val="1805323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33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26634</xdr:colOff>
      <xdr:row>0</xdr:row>
      <xdr:rowOff>34018</xdr:rowOff>
    </xdr:from>
    <xdr:to>
      <xdr:col>24</xdr:col>
      <xdr:colOff>7574</xdr:colOff>
      <xdr:row>14</xdr:row>
      <xdr:rowOff>148058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26637</xdr:colOff>
      <xdr:row>14</xdr:row>
      <xdr:rowOff>186165</xdr:rowOff>
    </xdr:from>
    <xdr:to>
      <xdr:col>24</xdr:col>
      <xdr:colOff>19481</xdr:colOff>
      <xdr:row>28</xdr:row>
      <xdr:rowOff>121095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70190</xdr:colOff>
      <xdr:row>15</xdr:row>
      <xdr:rowOff>10772</xdr:rowOff>
    </xdr:from>
    <xdr:to>
      <xdr:col>32</xdr:col>
      <xdr:colOff>13040</xdr:colOff>
      <xdr:row>28</xdr:row>
      <xdr:rowOff>141286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25057</xdr:colOff>
      <xdr:row>0</xdr:row>
      <xdr:rowOff>1</xdr:rowOff>
    </xdr:from>
    <xdr:to>
      <xdr:col>32</xdr:col>
      <xdr:colOff>5998</xdr:colOff>
      <xdr:row>14</xdr:row>
      <xdr:rowOff>129282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82115</xdr:colOff>
      <xdr:row>29</xdr:row>
      <xdr:rowOff>5441</xdr:rowOff>
    </xdr:from>
    <xdr:to>
      <xdr:col>32</xdr:col>
      <xdr:colOff>40821</xdr:colOff>
      <xdr:row>43</xdr:row>
      <xdr:rowOff>204106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29</xdr:row>
      <xdr:rowOff>35483</xdr:rowOff>
    </xdr:from>
    <xdr:to>
      <xdr:col>24</xdr:col>
      <xdr:colOff>27215</xdr:colOff>
      <xdr:row>43</xdr:row>
      <xdr:rowOff>166687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1"/>
  <sheetViews>
    <sheetView zoomScale="60" zoomScaleNormal="60" workbookViewId="0">
      <selection activeCell="A482" sqref="A482:XFD482"/>
    </sheetView>
  </sheetViews>
  <sheetFormatPr defaultColWidth="9" defaultRowHeight="17.149999999999999" customHeight="1" x14ac:dyDescent="0.4"/>
  <cols>
    <col min="1" max="1" width="12.58203125" style="25" bestFit="1" customWidth="1"/>
    <col min="2" max="2" width="14.58203125" style="25" bestFit="1" customWidth="1"/>
    <col min="3" max="3" width="15.08203125" style="25" customWidth="1"/>
    <col min="4" max="4" width="11.58203125" style="25" customWidth="1"/>
    <col min="5" max="5" width="11.08203125" style="25" bestFit="1" customWidth="1"/>
    <col min="6" max="6" width="15.08203125" style="25" bestFit="1" customWidth="1"/>
    <col min="7" max="7" width="12.58203125" style="25" bestFit="1" customWidth="1"/>
    <col min="8" max="8" width="17.08203125" style="25" customWidth="1"/>
    <col min="9" max="9" width="12.5" style="25" customWidth="1"/>
    <col min="10" max="10" width="17.58203125" style="25" customWidth="1"/>
    <col min="11" max="11" width="19.58203125" style="25" customWidth="1"/>
    <col min="12" max="12" width="18.58203125" style="25" bestFit="1" customWidth="1"/>
    <col min="13" max="13" width="16.08203125" style="31" customWidth="1"/>
    <col min="14" max="15" width="10.5" style="31" customWidth="1"/>
    <col min="16" max="16" width="11.58203125" style="31" customWidth="1"/>
    <col min="17" max="17" width="10.5" style="31" customWidth="1"/>
    <col min="18" max="18" width="13.58203125" style="31" customWidth="1"/>
    <col min="19" max="19" width="11.58203125" style="31" customWidth="1"/>
    <col min="20" max="22" width="9" style="31" customWidth="1"/>
    <col min="23" max="23" width="11.58203125" style="31" customWidth="1"/>
    <col min="24" max="24" width="21.58203125" style="31" customWidth="1"/>
    <col min="25" max="16384" width="9" style="31"/>
  </cols>
  <sheetData>
    <row r="1" spans="1:12" s="45" customFormat="1" ht="15" x14ac:dyDescent="0.25">
      <c r="A1" s="46" t="s">
        <v>3</v>
      </c>
      <c r="B1" s="46" t="s">
        <v>4</v>
      </c>
      <c r="C1" s="46" t="s">
        <v>5</v>
      </c>
      <c r="D1" s="46" t="s">
        <v>6</v>
      </c>
      <c r="E1" s="46" t="s">
        <v>7</v>
      </c>
      <c r="F1" s="46" t="s">
        <v>8</v>
      </c>
      <c r="G1" s="46" t="s">
        <v>9</v>
      </c>
      <c r="H1" s="47" t="s">
        <v>10</v>
      </c>
      <c r="I1" s="46" t="s">
        <v>11</v>
      </c>
      <c r="J1" s="46" t="s">
        <v>12</v>
      </c>
      <c r="K1" s="46" t="s">
        <v>99</v>
      </c>
      <c r="L1" s="18" t="s">
        <v>214</v>
      </c>
    </row>
    <row r="2" spans="1:12" s="2" customFormat="1" ht="16.5" x14ac:dyDescent="0.4">
      <c r="A2" s="72">
        <v>20240716</v>
      </c>
      <c r="B2" s="52" t="s">
        <v>13</v>
      </c>
      <c r="C2" s="53">
        <v>7625503</v>
      </c>
      <c r="D2" s="53">
        <v>287368</v>
      </c>
      <c r="E2" s="54">
        <v>3.7699999999999997E-2</v>
      </c>
      <c r="F2" s="53">
        <v>73553142</v>
      </c>
      <c r="G2" s="53">
        <v>530942</v>
      </c>
      <c r="H2" s="55">
        <v>7.1999999999999998E-3</v>
      </c>
      <c r="I2" s="56">
        <v>9.6456999999999997</v>
      </c>
      <c r="J2" s="53">
        <v>157654</v>
      </c>
      <c r="K2" s="53">
        <v>1100000</v>
      </c>
      <c r="L2" s="20">
        <v>2.0999999999999999E-3</v>
      </c>
    </row>
    <row r="3" spans="1:12" s="2" customFormat="1" ht="16.5" x14ac:dyDescent="0.4">
      <c r="A3" s="72">
        <v>20240716</v>
      </c>
      <c r="B3" s="52" t="s">
        <v>13</v>
      </c>
      <c r="C3" s="53">
        <v>7625503</v>
      </c>
      <c r="D3" s="53">
        <v>287368</v>
      </c>
      <c r="E3" s="54">
        <v>3.7699999999999997E-2</v>
      </c>
      <c r="F3" s="53">
        <v>73553142</v>
      </c>
      <c r="G3" s="53">
        <v>530942</v>
      </c>
      <c r="H3" s="55">
        <v>7.1999999999999998E-3</v>
      </c>
      <c r="I3" s="56">
        <v>9.6456999999999997</v>
      </c>
      <c r="J3" s="53">
        <v>157654</v>
      </c>
      <c r="K3" s="53">
        <v>1100000</v>
      </c>
      <c r="L3" s="20">
        <v>2.0999999999999999E-3</v>
      </c>
    </row>
    <row r="4" spans="1:12" s="2" customFormat="1" ht="16.5" x14ac:dyDescent="0.4">
      <c r="A4" s="72">
        <v>20240715</v>
      </c>
      <c r="B4" s="52" t="s">
        <v>13</v>
      </c>
      <c r="C4" s="53">
        <v>7713459</v>
      </c>
      <c r="D4" s="53">
        <v>292405</v>
      </c>
      <c r="E4" s="54">
        <v>3.7900000000000003E-2</v>
      </c>
      <c r="F4" s="53">
        <v>68105696</v>
      </c>
      <c r="G4" s="53">
        <v>522048</v>
      </c>
      <c r="H4" s="55">
        <v>7.7000000000000002E-3</v>
      </c>
      <c r="I4" s="56">
        <v>8.8294999999999995</v>
      </c>
      <c r="J4" s="53">
        <v>158178</v>
      </c>
      <c r="K4" s="53">
        <v>1100000</v>
      </c>
      <c r="L4" s="20">
        <v>2.3E-3</v>
      </c>
    </row>
    <row r="5" spans="1:12" s="2" customFormat="1" ht="16.5" x14ac:dyDescent="0.4">
      <c r="A5" s="72">
        <v>20240714</v>
      </c>
      <c r="B5" s="52" t="s">
        <v>13</v>
      </c>
      <c r="C5" s="53">
        <v>7863385</v>
      </c>
      <c r="D5" s="53">
        <v>343869</v>
      </c>
      <c r="E5" s="54">
        <v>4.3700000000000003E-2</v>
      </c>
      <c r="F5" s="53">
        <v>75364427</v>
      </c>
      <c r="G5" s="53">
        <v>737457</v>
      </c>
      <c r="H5" s="55">
        <v>9.7999999999999997E-3</v>
      </c>
      <c r="I5" s="56">
        <v>9.5841999999999992</v>
      </c>
      <c r="J5" s="53">
        <v>193358</v>
      </c>
      <c r="K5" s="53">
        <v>1100000</v>
      </c>
      <c r="L5" s="20">
        <v>2.5999999999999999E-3</v>
      </c>
    </row>
    <row r="6" spans="1:12" s="2" customFormat="1" ht="16.5" x14ac:dyDescent="0.4">
      <c r="A6" s="72">
        <v>20240713</v>
      </c>
      <c r="B6" s="52" t="s">
        <v>13</v>
      </c>
      <c r="C6" s="53">
        <v>8750659</v>
      </c>
      <c r="D6" s="53">
        <v>270563</v>
      </c>
      <c r="E6" s="54">
        <v>3.09E-2</v>
      </c>
      <c r="F6" s="53">
        <v>68675960</v>
      </c>
      <c r="G6" s="53">
        <v>484293</v>
      </c>
      <c r="H6" s="55">
        <v>7.1000000000000004E-3</v>
      </c>
      <c r="I6" s="56">
        <v>7.8480999999999996</v>
      </c>
      <c r="J6" s="53">
        <v>151000</v>
      </c>
      <c r="K6" s="53">
        <v>1100000</v>
      </c>
      <c r="L6" s="20">
        <v>2.2000000000000001E-3</v>
      </c>
    </row>
    <row r="7" spans="1:12" s="2" customFormat="1" ht="16.5" x14ac:dyDescent="0.4">
      <c r="A7" s="72">
        <v>20240712</v>
      </c>
      <c r="B7" s="52" t="s">
        <v>13</v>
      </c>
      <c r="C7" s="53">
        <v>8849979</v>
      </c>
      <c r="D7" s="53">
        <v>290383</v>
      </c>
      <c r="E7" s="54">
        <v>3.2800000000000003E-2</v>
      </c>
      <c r="F7" s="53">
        <v>70443529</v>
      </c>
      <c r="G7" s="53">
        <v>516366</v>
      </c>
      <c r="H7" s="55">
        <v>7.3000000000000001E-3</v>
      </c>
      <c r="I7" s="56">
        <v>7.9596999999999998</v>
      </c>
      <c r="J7" s="53">
        <v>161961</v>
      </c>
      <c r="K7" s="53">
        <v>1100000</v>
      </c>
      <c r="L7" s="20">
        <v>2.3E-3</v>
      </c>
    </row>
    <row r="8" spans="1:12" s="2" customFormat="1" ht="16.5" x14ac:dyDescent="0.4">
      <c r="A8" s="72">
        <v>20240711</v>
      </c>
      <c r="B8" s="52" t="s">
        <v>13</v>
      </c>
      <c r="C8" s="53">
        <v>9396337</v>
      </c>
      <c r="D8" s="53">
        <v>279650</v>
      </c>
      <c r="E8" s="54">
        <v>2.98E-2</v>
      </c>
      <c r="F8" s="53">
        <v>73607172</v>
      </c>
      <c r="G8" s="53">
        <v>505130</v>
      </c>
      <c r="H8" s="55">
        <v>6.8999999999999999E-3</v>
      </c>
      <c r="I8" s="56">
        <v>7.8335999999999997</v>
      </c>
      <c r="J8" s="53">
        <v>152128</v>
      </c>
      <c r="K8" s="53">
        <v>1100000</v>
      </c>
      <c r="L8" s="20">
        <v>2.0999999999999999E-3</v>
      </c>
    </row>
    <row r="9" spans="1:12" s="2" customFormat="1" ht="16.5" x14ac:dyDescent="0.4">
      <c r="A9" s="72">
        <v>20240710</v>
      </c>
      <c r="B9" s="52" t="s">
        <v>13</v>
      </c>
      <c r="C9" s="53">
        <v>9102582</v>
      </c>
      <c r="D9" s="53">
        <v>281809</v>
      </c>
      <c r="E9" s="54">
        <v>3.1E-2</v>
      </c>
      <c r="F9" s="53">
        <v>70870783</v>
      </c>
      <c r="G9" s="53">
        <v>498787</v>
      </c>
      <c r="H9" s="55">
        <v>7.0000000000000001E-3</v>
      </c>
      <c r="I9" s="56">
        <v>7.7858000000000001</v>
      </c>
      <c r="J9" s="53">
        <v>154578</v>
      </c>
      <c r="K9" s="53">
        <v>1100000</v>
      </c>
      <c r="L9" s="20">
        <v>2.2000000000000001E-3</v>
      </c>
    </row>
    <row r="10" spans="1:12" s="2" customFormat="1" ht="16.5" x14ac:dyDescent="0.4">
      <c r="A10" s="72">
        <v>20240709</v>
      </c>
      <c r="B10" s="52" t="s">
        <v>13</v>
      </c>
      <c r="C10" s="53">
        <v>8952654</v>
      </c>
      <c r="D10" s="53">
        <v>311653</v>
      </c>
      <c r="E10" s="54">
        <v>3.4799999999999998E-2</v>
      </c>
      <c r="F10" s="53">
        <v>77033096</v>
      </c>
      <c r="G10" s="53">
        <v>563286</v>
      </c>
      <c r="H10" s="55">
        <v>7.3000000000000001E-3</v>
      </c>
      <c r="I10" s="56">
        <v>8.6044999999999998</v>
      </c>
      <c r="J10" s="53">
        <v>172429</v>
      </c>
      <c r="K10" s="53">
        <v>1100000</v>
      </c>
      <c r="L10" s="20">
        <v>2.2000000000000001E-3</v>
      </c>
    </row>
    <row r="11" spans="1:12" s="2" customFormat="1" ht="16.5" x14ac:dyDescent="0.4">
      <c r="A11" s="72">
        <v>20240708</v>
      </c>
      <c r="B11" s="52" t="s">
        <v>13</v>
      </c>
      <c r="C11" s="53">
        <v>9844002</v>
      </c>
      <c r="D11" s="53">
        <v>296100</v>
      </c>
      <c r="E11" s="54">
        <v>3.0099999999999998E-2</v>
      </c>
      <c r="F11" s="53">
        <v>80973359</v>
      </c>
      <c r="G11" s="53">
        <v>517674</v>
      </c>
      <c r="H11" s="55">
        <v>6.4000000000000003E-3</v>
      </c>
      <c r="I11" s="56">
        <v>8.2256999999999998</v>
      </c>
      <c r="J11" s="53">
        <v>162272</v>
      </c>
      <c r="K11" s="53">
        <v>1100000</v>
      </c>
      <c r="L11" s="20">
        <v>2E-3</v>
      </c>
    </row>
    <row r="12" spans="1:12" s="2" customFormat="1" ht="16.5" x14ac:dyDescent="0.4">
      <c r="A12" s="72">
        <v>20240707</v>
      </c>
      <c r="B12" s="52" t="s">
        <v>13</v>
      </c>
      <c r="C12" s="53">
        <v>9441015</v>
      </c>
      <c r="D12" s="53">
        <v>270517</v>
      </c>
      <c r="E12" s="54">
        <v>2.87E-2</v>
      </c>
      <c r="F12" s="53">
        <v>70160108</v>
      </c>
      <c r="G12" s="53">
        <v>470846</v>
      </c>
      <c r="H12" s="55">
        <v>6.7000000000000002E-3</v>
      </c>
      <c r="I12" s="56">
        <v>7.4314</v>
      </c>
      <c r="J12" s="53">
        <v>148348</v>
      </c>
      <c r="K12" s="53">
        <v>1100000</v>
      </c>
      <c r="L12" s="20">
        <v>2.0999999999999999E-3</v>
      </c>
    </row>
    <row r="13" spans="1:12" s="2" customFormat="1" ht="16.5" x14ac:dyDescent="0.4">
      <c r="A13" s="72">
        <v>20240706</v>
      </c>
      <c r="B13" s="52" t="s">
        <v>13</v>
      </c>
      <c r="C13" s="53">
        <v>9593527</v>
      </c>
      <c r="D13" s="53">
        <v>284203</v>
      </c>
      <c r="E13" s="54">
        <v>2.9600000000000001E-2</v>
      </c>
      <c r="F13" s="53">
        <v>75191527</v>
      </c>
      <c r="G13" s="53">
        <v>505276</v>
      </c>
      <c r="H13" s="55">
        <v>6.7000000000000002E-3</v>
      </c>
      <c r="I13" s="56">
        <v>7.8376999999999999</v>
      </c>
      <c r="J13" s="53">
        <v>157839</v>
      </c>
      <c r="K13" s="53">
        <v>1100000</v>
      </c>
      <c r="L13" s="20">
        <v>2.0999999999999999E-3</v>
      </c>
    </row>
    <row r="14" spans="1:12" s="2" customFormat="1" ht="16.5" x14ac:dyDescent="0.4">
      <c r="A14" s="72">
        <v>20240705</v>
      </c>
      <c r="B14" s="52" t="s">
        <v>13</v>
      </c>
      <c r="C14" s="53">
        <v>9539544</v>
      </c>
      <c r="D14" s="53">
        <v>290467</v>
      </c>
      <c r="E14" s="54">
        <v>3.04E-2</v>
      </c>
      <c r="F14" s="53">
        <v>79725139</v>
      </c>
      <c r="G14" s="53">
        <v>529819</v>
      </c>
      <c r="H14" s="55">
        <v>6.6E-3</v>
      </c>
      <c r="I14" s="56">
        <v>8.3573000000000004</v>
      </c>
      <c r="J14" s="53">
        <v>159309</v>
      </c>
      <c r="K14" s="53">
        <v>1100000</v>
      </c>
      <c r="L14" s="20">
        <v>2E-3</v>
      </c>
    </row>
    <row r="15" spans="1:12" s="2" customFormat="1" ht="16.5" x14ac:dyDescent="0.4">
      <c r="A15" s="72">
        <v>20240704</v>
      </c>
      <c r="B15" s="52" t="s">
        <v>13</v>
      </c>
      <c r="C15" s="53">
        <v>8915677</v>
      </c>
      <c r="D15" s="53">
        <v>278715</v>
      </c>
      <c r="E15" s="54">
        <v>3.1300000000000001E-2</v>
      </c>
      <c r="F15" s="53">
        <v>73424718</v>
      </c>
      <c r="G15" s="53">
        <v>487993</v>
      </c>
      <c r="H15" s="55">
        <v>6.6E-3</v>
      </c>
      <c r="I15" s="56">
        <v>8.2355</v>
      </c>
      <c r="J15" s="53">
        <v>153120</v>
      </c>
      <c r="K15" s="53">
        <v>1100000</v>
      </c>
      <c r="L15" s="20">
        <v>2.0999999999999999E-3</v>
      </c>
    </row>
    <row r="16" spans="1:12" s="2" customFormat="1" ht="16.5" x14ac:dyDescent="0.4">
      <c r="A16" s="72">
        <v>20240703</v>
      </c>
      <c r="B16" s="52" t="s">
        <v>13</v>
      </c>
      <c r="C16" s="53">
        <v>8601932</v>
      </c>
      <c r="D16" s="53">
        <v>287434</v>
      </c>
      <c r="E16" s="54">
        <v>3.3399999999999999E-2</v>
      </c>
      <c r="F16" s="53">
        <v>76116589</v>
      </c>
      <c r="G16" s="53">
        <v>510497</v>
      </c>
      <c r="H16" s="55">
        <v>6.7000000000000002E-3</v>
      </c>
      <c r="I16" s="56">
        <v>8.8488000000000007</v>
      </c>
      <c r="J16" s="53">
        <v>157105</v>
      </c>
      <c r="K16" s="53">
        <v>1100000</v>
      </c>
      <c r="L16" s="20">
        <v>2.0999999999999999E-3</v>
      </c>
    </row>
    <row r="17" spans="1:13" s="2" customFormat="1" ht="16.5" x14ac:dyDescent="0.4">
      <c r="A17" s="72">
        <v>20240702</v>
      </c>
      <c r="B17" s="52" t="s">
        <v>13</v>
      </c>
      <c r="C17" s="53">
        <v>8613179</v>
      </c>
      <c r="D17" s="53">
        <v>285919</v>
      </c>
      <c r="E17" s="54">
        <v>3.32E-2</v>
      </c>
      <c r="F17" s="53">
        <v>77448827</v>
      </c>
      <c r="G17" s="53">
        <v>524801</v>
      </c>
      <c r="H17" s="55">
        <v>6.7999999999999996E-3</v>
      </c>
      <c r="I17" s="56">
        <v>8.9918999999999993</v>
      </c>
      <c r="J17" s="53">
        <v>156334</v>
      </c>
      <c r="K17" s="53">
        <v>1100000</v>
      </c>
      <c r="L17" s="20">
        <v>2E-3</v>
      </c>
    </row>
    <row r="18" spans="1:13" s="2" customFormat="1" ht="16.5" x14ac:dyDescent="0.4">
      <c r="A18" s="72">
        <v>20240701</v>
      </c>
      <c r="B18" s="52" t="s">
        <v>13</v>
      </c>
      <c r="C18" s="53">
        <v>8192909</v>
      </c>
      <c r="D18" s="53">
        <v>295408</v>
      </c>
      <c r="E18" s="54">
        <v>3.61E-2</v>
      </c>
      <c r="F18" s="53">
        <v>73249977</v>
      </c>
      <c r="G18" s="53">
        <v>556490</v>
      </c>
      <c r="H18" s="55">
        <v>7.6E-3</v>
      </c>
      <c r="I18" s="56">
        <v>8.9406999999999996</v>
      </c>
      <c r="J18" s="53">
        <v>160174</v>
      </c>
      <c r="K18" s="53">
        <v>1100000</v>
      </c>
      <c r="L18" s="20">
        <v>2.2000000000000001E-3</v>
      </c>
    </row>
    <row r="19" spans="1:13" s="2" customFormat="1" ht="16.5" x14ac:dyDescent="0.4">
      <c r="A19" s="22" t="s">
        <v>971</v>
      </c>
      <c r="B19" s="52" t="s">
        <v>972</v>
      </c>
      <c r="C19" s="53">
        <v>9224953.666666666</v>
      </c>
      <c r="D19" s="53">
        <v>258955.1</v>
      </c>
      <c r="E19" s="54">
        <v>2.8213333333333326E-2</v>
      </c>
      <c r="F19" s="53">
        <v>70703971.63333334</v>
      </c>
      <c r="G19" s="53">
        <v>447376.76666666666</v>
      </c>
      <c r="H19" s="55">
        <v>6.3166666666666683E-3</v>
      </c>
      <c r="I19" s="56">
        <v>7.6870000000000003</v>
      </c>
      <c r="J19" s="53">
        <v>142443.4</v>
      </c>
      <c r="K19" s="53">
        <v>1100000</v>
      </c>
      <c r="L19" s="20">
        <v>2.0133333333333331E-3</v>
      </c>
    </row>
    <row r="20" spans="1:13" s="2" customFormat="1" ht="16.5" x14ac:dyDescent="0.4">
      <c r="A20" s="22" t="s">
        <v>890</v>
      </c>
      <c r="B20" s="52" t="s">
        <v>891</v>
      </c>
      <c r="C20" s="53">
        <v>9348605.6451612897</v>
      </c>
      <c r="D20" s="53">
        <v>257481.67741935485</v>
      </c>
      <c r="E20" s="54">
        <v>2.7609677419354838E-2</v>
      </c>
      <c r="F20" s="53">
        <v>67726816.064516127</v>
      </c>
      <c r="G20" s="53">
        <v>441085</v>
      </c>
      <c r="H20" s="55">
        <v>6.5032258064516126E-3</v>
      </c>
      <c r="I20" s="56">
        <v>7.2471483870967726</v>
      </c>
      <c r="J20" s="53">
        <v>143050.80645161291</v>
      </c>
      <c r="K20" s="53">
        <v>1100000</v>
      </c>
      <c r="L20" s="20">
        <v>2.1225806451612901E-3</v>
      </c>
    </row>
    <row r="21" spans="1:13" s="2" customFormat="1" ht="16.5" x14ac:dyDescent="0.4">
      <c r="A21" s="22" t="s">
        <v>755</v>
      </c>
      <c r="B21" s="52" t="s">
        <v>13</v>
      </c>
      <c r="C21" s="53">
        <v>9341560.9333333336</v>
      </c>
      <c r="D21" s="53">
        <v>258426.86666666667</v>
      </c>
      <c r="E21" s="54">
        <v>2.764666666666666E-2</v>
      </c>
      <c r="F21" s="53">
        <v>66593023.233333334</v>
      </c>
      <c r="G21" s="53">
        <v>444576.23333333334</v>
      </c>
      <c r="H21" s="55">
        <v>6.680000000000001E-3</v>
      </c>
      <c r="I21" s="56">
        <v>7.1251000000000007</v>
      </c>
      <c r="J21" s="53">
        <v>143263.5</v>
      </c>
      <c r="K21" s="53">
        <v>1100000</v>
      </c>
      <c r="L21" s="20">
        <v>2.1599999999999996E-3</v>
      </c>
    </row>
    <row r="22" spans="1:13" s="2" customFormat="1" ht="16.5" x14ac:dyDescent="0.4">
      <c r="A22" s="22" t="s">
        <v>661</v>
      </c>
      <c r="B22" s="52" t="s">
        <v>13</v>
      </c>
      <c r="C22" s="53">
        <v>9521639.2903225813</v>
      </c>
      <c r="D22" s="53">
        <v>256964.35483870967</v>
      </c>
      <c r="E22" s="54">
        <v>2.7019354838709677E-2</v>
      </c>
      <c r="F22" s="53">
        <v>67057241.903225809</v>
      </c>
      <c r="G22" s="53">
        <v>432437.25806451612</v>
      </c>
      <c r="H22" s="55">
        <v>6.4516129032258064E-3</v>
      </c>
      <c r="I22" s="56">
        <v>7.0447225806451605</v>
      </c>
      <c r="J22" s="53">
        <v>142245.90322580645</v>
      </c>
      <c r="K22" s="53">
        <v>1100000</v>
      </c>
      <c r="L22" s="20">
        <v>2.1290322580645163E-3</v>
      </c>
    </row>
    <row r="23" spans="1:13" s="2" customFormat="1" ht="16.5" x14ac:dyDescent="0.4">
      <c r="A23" s="22" t="s">
        <v>531</v>
      </c>
      <c r="B23" s="52" t="s">
        <v>13</v>
      </c>
      <c r="C23" s="53">
        <v>9844887.3448275868</v>
      </c>
      <c r="D23" s="53">
        <v>254788.58620689655</v>
      </c>
      <c r="E23" s="89">
        <v>2.5882758620689651E-2</v>
      </c>
      <c r="F23" s="53">
        <v>72346187.586206898</v>
      </c>
      <c r="G23" s="53">
        <v>424091.4827586207</v>
      </c>
      <c r="H23" s="89">
        <v>5.8310344827586201E-3</v>
      </c>
      <c r="I23" s="56">
        <v>7.3486206896551725</v>
      </c>
      <c r="J23" s="53">
        <v>142668.68965517241</v>
      </c>
      <c r="K23" s="53">
        <v>1100000</v>
      </c>
      <c r="L23" s="89">
        <v>1.9586206896551727E-3</v>
      </c>
      <c r="M23" s="94"/>
    </row>
    <row r="24" spans="1:13" s="2" customFormat="1" ht="16.5" x14ac:dyDescent="0.4">
      <c r="A24" s="22" t="s">
        <v>464</v>
      </c>
      <c r="B24" s="52" t="s">
        <v>13</v>
      </c>
      <c r="C24" s="53">
        <v>10183803.741935484</v>
      </c>
      <c r="D24" s="53">
        <v>355811.38709677418</v>
      </c>
      <c r="E24" s="89">
        <v>3.4951612903225814E-2</v>
      </c>
      <c r="F24" s="53">
        <v>118045985.19354838</v>
      </c>
      <c r="G24" s="53">
        <v>619245.22580645164</v>
      </c>
      <c r="H24" s="89">
        <v>5.2709677419354823E-3</v>
      </c>
      <c r="I24" s="56">
        <v>11.59721935483871</v>
      </c>
      <c r="J24" s="53">
        <v>213307.64516129033</v>
      </c>
      <c r="K24" s="53">
        <v>1100000</v>
      </c>
      <c r="L24" s="89">
        <v>1.8193548387096775E-3</v>
      </c>
      <c r="M24" s="94"/>
    </row>
    <row r="25" spans="1:13" s="2" customFormat="1" ht="16.5" x14ac:dyDescent="0.4">
      <c r="A25" s="22" t="s">
        <v>215</v>
      </c>
      <c r="B25" s="52" t="s">
        <v>13</v>
      </c>
      <c r="C25" s="53">
        <v>10552426.967741935</v>
      </c>
      <c r="D25" s="53">
        <v>378630.74193548388</v>
      </c>
      <c r="E25" s="89">
        <v>3.5877419354838715E-2</v>
      </c>
      <c r="F25" s="53">
        <v>122010604.38709678</v>
      </c>
      <c r="G25" s="53">
        <v>654153.48387096776</v>
      </c>
      <c r="H25" s="89">
        <v>5.3709677419354843E-3</v>
      </c>
      <c r="I25" s="56">
        <v>11.563151612903228</v>
      </c>
      <c r="J25" s="53">
        <v>230330.16129032258</v>
      </c>
      <c r="K25" s="53">
        <v>1100000</v>
      </c>
      <c r="L25" s="89">
        <v>1.9E-3</v>
      </c>
      <c r="M25" s="94"/>
    </row>
    <row r="26" spans="1:13" s="2" customFormat="1" ht="16.5" x14ac:dyDescent="0.4">
      <c r="A26" s="22" t="s">
        <v>216</v>
      </c>
      <c r="B26" s="52" t="s">
        <v>13</v>
      </c>
      <c r="C26" s="53">
        <v>10765773.533333333</v>
      </c>
      <c r="D26" s="53">
        <v>396311.16666666669</v>
      </c>
      <c r="E26" s="54">
        <v>3.6783333333333328E-2</v>
      </c>
      <c r="F26" s="53">
        <v>123368836.53333333</v>
      </c>
      <c r="G26" s="53">
        <v>683327.76666666672</v>
      </c>
      <c r="H26" s="55">
        <v>5.5266666666666658E-3</v>
      </c>
      <c r="I26" s="73">
        <v>11.459540000000002</v>
      </c>
      <c r="J26" s="53">
        <v>242484.9</v>
      </c>
      <c r="K26" s="53">
        <v>1100000</v>
      </c>
      <c r="L26" s="74">
        <v>1.9633333333333334E-3</v>
      </c>
      <c r="M26" s="94"/>
    </row>
    <row r="27" spans="1:13" s="2" customFormat="1" ht="16.5" x14ac:dyDescent="0.4">
      <c r="A27" s="22" t="s">
        <v>217</v>
      </c>
      <c r="B27" s="52" t="s">
        <v>218</v>
      </c>
      <c r="C27" s="53">
        <v>11192530.612903226</v>
      </c>
      <c r="D27" s="53">
        <v>470817.77419354836</v>
      </c>
      <c r="E27" s="54">
        <v>4.2054838709677418E-2</v>
      </c>
      <c r="F27" s="53">
        <v>139025633.54838711</v>
      </c>
      <c r="G27" s="53">
        <v>842885.77419354836</v>
      </c>
      <c r="H27" s="55">
        <v>6.0741935483870956E-3</v>
      </c>
      <c r="I27" s="73">
        <v>12.418600000000003</v>
      </c>
      <c r="J27" s="53">
        <v>289462.96774193546</v>
      </c>
      <c r="K27" s="53">
        <v>1100000</v>
      </c>
      <c r="L27" s="74">
        <v>2.0774193548387097E-3</v>
      </c>
      <c r="M27" s="94"/>
    </row>
    <row r="28" spans="1:13" s="2" customFormat="1" ht="16.5" x14ac:dyDescent="0.4">
      <c r="A28" s="22" t="s">
        <v>219</v>
      </c>
      <c r="B28" s="52" t="s">
        <v>218</v>
      </c>
      <c r="C28" s="53">
        <v>11441322.866666667</v>
      </c>
      <c r="D28" s="53">
        <v>469436.23333333334</v>
      </c>
      <c r="E28" s="54">
        <v>4.102666666666667E-2</v>
      </c>
      <c r="F28" s="53">
        <v>127756357.86666666</v>
      </c>
      <c r="G28" s="53">
        <v>794825.03333333333</v>
      </c>
      <c r="H28" s="55">
        <v>6.2300000000000003E-3</v>
      </c>
      <c r="I28" s="73">
        <v>11.173803333333334</v>
      </c>
      <c r="J28" s="53">
        <v>293169.36666666664</v>
      </c>
      <c r="K28" s="53">
        <v>1100000</v>
      </c>
      <c r="L28" s="74">
        <v>2.2966666666666665E-3</v>
      </c>
      <c r="M28" s="94"/>
    </row>
    <row r="29" spans="1:13" s="2" customFormat="1" ht="16.5" x14ac:dyDescent="0.4">
      <c r="A29" s="22" t="s">
        <v>220</v>
      </c>
      <c r="B29" s="52" t="s">
        <v>218</v>
      </c>
      <c r="C29" s="53">
        <v>11658080.258064516</v>
      </c>
      <c r="D29" s="53">
        <v>524377.22588709672</v>
      </c>
      <c r="E29" s="54">
        <v>4.4979723443262197E-2</v>
      </c>
      <c r="F29" s="53">
        <v>134941528.03225806</v>
      </c>
      <c r="G29" s="53">
        <v>919139.03225806449</v>
      </c>
      <c r="H29" s="55">
        <v>6.811387462859783E-3</v>
      </c>
      <c r="I29" s="56">
        <v>11.615958064516127</v>
      </c>
      <c r="J29" s="53">
        <v>322108.96774193546</v>
      </c>
      <c r="K29" s="53">
        <v>1100000</v>
      </c>
      <c r="L29" s="20">
        <v>2.3870262360222764E-3</v>
      </c>
    </row>
    <row r="30" spans="1:13" s="2" customFormat="1" ht="16.5" x14ac:dyDescent="0.4">
      <c r="A30" s="22" t="s">
        <v>221</v>
      </c>
      <c r="B30" s="42" t="s">
        <v>218</v>
      </c>
      <c r="C30" s="19">
        <v>11869883.096774194</v>
      </c>
      <c r="D30" s="19">
        <v>547594.22580645164</v>
      </c>
      <c r="E30" s="20">
        <v>4.6133076572192018E-2</v>
      </c>
      <c r="F30" s="19">
        <v>132452625.96774194</v>
      </c>
      <c r="G30" s="19">
        <v>946173.29166666663</v>
      </c>
      <c r="H30" s="95">
        <v>7.2580645161290334E-3</v>
      </c>
      <c r="I30" s="21">
        <v>11.161825806451612</v>
      </c>
      <c r="J30" s="19">
        <v>336078.51612903224</v>
      </c>
      <c r="K30" s="19">
        <v>1100000</v>
      </c>
      <c r="L30" s="20">
        <v>2.5354838709677418E-3</v>
      </c>
    </row>
    <row r="31" spans="1:13" s="2" customFormat="1" ht="16.5" x14ac:dyDescent="0.4">
      <c r="A31" s="25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1:13" s="2" customFormat="1" ht="16.5" x14ac:dyDescent="0.4">
      <c r="A32" s="25"/>
      <c r="B32" s="25"/>
      <c r="C32" s="26"/>
      <c r="D32" s="26"/>
      <c r="E32" s="26"/>
      <c r="F32" s="26"/>
      <c r="G32" s="26"/>
      <c r="H32" s="26"/>
      <c r="I32" s="26"/>
    </row>
    <row r="33" spans="1:13" s="2" customFormat="1" ht="15" x14ac:dyDescent="0.25">
      <c r="A33" s="18" t="s">
        <v>3</v>
      </c>
      <c r="B33" s="18" t="s">
        <v>4</v>
      </c>
      <c r="C33" s="18" t="s">
        <v>5</v>
      </c>
      <c r="D33" s="18" t="s">
        <v>6</v>
      </c>
      <c r="E33" s="18" t="s">
        <v>7</v>
      </c>
      <c r="F33" s="18" t="s">
        <v>8</v>
      </c>
      <c r="G33" s="18" t="s">
        <v>9</v>
      </c>
      <c r="H33" s="18" t="s">
        <v>10</v>
      </c>
      <c r="I33" s="18" t="s">
        <v>14</v>
      </c>
      <c r="J33" s="18" t="s">
        <v>11</v>
      </c>
      <c r="K33" s="18" t="s">
        <v>12</v>
      </c>
      <c r="L33" s="18" t="s">
        <v>99</v>
      </c>
      <c r="M33" s="18" t="s">
        <v>214</v>
      </c>
    </row>
    <row r="34" spans="1:13" customFormat="1" ht="16.5" x14ac:dyDescent="0.4">
      <c r="A34" s="72">
        <v>20240716</v>
      </c>
      <c r="B34" s="82" t="s">
        <v>15</v>
      </c>
      <c r="C34" s="83">
        <v>5287611</v>
      </c>
      <c r="D34" s="83">
        <v>41812</v>
      </c>
      <c r="E34" s="86">
        <v>7.9000000000000008E-3</v>
      </c>
      <c r="F34" s="85">
        <v>5895734</v>
      </c>
      <c r="G34" s="85">
        <v>43288</v>
      </c>
      <c r="H34" s="87">
        <v>7.3000000000000001E-3</v>
      </c>
      <c r="I34" s="85">
        <v>22138</v>
      </c>
      <c r="J34" s="88">
        <v>1.115</v>
      </c>
      <c r="K34" s="85">
        <v>23623</v>
      </c>
      <c r="L34" s="85">
        <v>220000</v>
      </c>
      <c r="M34" s="86">
        <v>4.0000000000000001E-3</v>
      </c>
    </row>
    <row r="35" spans="1:13" customFormat="1" ht="16.5" x14ac:dyDescent="0.4">
      <c r="A35" s="72">
        <v>20240716</v>
      </c>
      <c r="B35" s="82" t="s">
        <v>15</v>
      </c>
      <c r="C35" s="83">
        <v>5287611</v>
      </c>
      <c r="D35" s="83">
        <v>41812</v>
      </c>
      <c r="E35" s="86">
        <v>7.9000000000000008E-3</v>
      </c>
      <c r="F35" s="85">
        <v>5895734</v>
      </c>
      <c r="G35" s="85">
        <v>43288</v>
      </c>
      <c r="H35" s="87">
        <v>7.3000000000000001E-3</v>
      </c>
      <c r="I35" s="85">
        <v>22138</v>
      </c>
      <c r="J35" s="88">
        <v>1.115</v>
      </c>
      <c r="K35" s="85">
        <v>23623</v>
      </c>
      <c r="L35" s="85">
        <v>220000</v>
      </c>
      <c r="M35" s="86">
        <v>4.0000000000000001E-3</v>
      </c>
    </row>
    <row r="36" spans="1:13" customFormat="1" ht="16.5" x14ac:dyDescent="0.4">
      <c r="A36" s="72">
        <v>20240715</v>
      </c>
      <c r="B36" s="82" t="s">
        <v>15</v>
      </c>
      <c r="C36" s="83">
        <v>5379021</v>
      </c>
      <c r="D36" s="83">
        <v>76322</v>
      </c>
      <c r="E36" s="86">
        <v>1.4200000000000001E-2</v>
      </c>
      <c r="F36" s="85">
        <v>8159540</v>
      </c>
      <c r="G36" s="85">
        <v>84683</v>
      </c>
      <c r="H36" s="87">
        <v>1.04E-2</v>
      </c>
      <c r="I36" s="85">
        <v>40181</v>
      </c>
      <c r="J36" s="88">
        <v>1.5168999999999999</v>
      </c>
      <c r="K36" s="85">
        <v>35308</v>
      </c>
      <c r="L36" s="85">
        <v>220000</v>
      </c>
      <c r="M36" s="86">
        <v>4.3E-3</v>
      </c>
    </row>
    <row r="37" spans="1:13" customFormat="1" ht="16.5" x14ac:dyDescent="0.4">
      <c r="A37" s="72">
        <v>20240714</v>
      </c>
      <c r="B37" s="82" t="s">
        <v>15</v>
      </c>
      <c r="C37" s="83">
        <v>3458576</v>
      </c>
      <c r="D37" s="83">
        <v>137599</v>
      </c>
      <c r="E37" s="86">
        <v>3.9800000000000002E-2</v>
      </c>
      <c r="F37" s="85">
        <v>11007033</v>
      </c>
      <c r="G37" s="85">
        <v>197176</v>
      </c>
      <c r="H37" s="87">
        <v>1.7899999999999999E-2</v>
      </c>
      <c r="I37" s="85">
        <v>61316</v>
      </c>
      <c r="J37" s="88">
        <v>3.1825000000000001</v>
      </c>
      <c r="K37" s="85">
        <v>51968</v>
      </c>
      <c r="L37" s="85">
        <v>220000</v>
      </c>
      <c r="M37" s="86">
        <v>4.7000000000000002E-3</v>
      </c>
    </row>
    <row r="38" spans="1:13" customFormat="1" ht="16.5" x14ac:dyDescent="0.4">
      <c r="A38" s="72">
        <v>20240713</v>
      </c>
      <c r="B38" s="82" t="s">
        <v>15</v>
      </c>
      <c r="C38" s="83">
        <v>788938</v>
      </c>
      <c r="D38" s="83">
        <v>17498</v>
      </c>
      <c r="E38" s="86">
        <v>2.2200000000000001E-2</v>
      </c>
      <c r="F38" s="85">
        <v>1384910</v>
      </c>
      <c r="G38" s="85">
        <v>17819</v>
      </c>
      <c r="H38" s="87">
        <v>1.29E-2</v>
      </c>
      <c r="I38" s="85">
        <v>7802</v>
      </c>
      <c r="J38" s="88">
        <v>1.7554000000000001</v>
      </c>
      <c r="K38" s="85">
        <v>5023</v>
      </c>
      <c r="L38" s="85">
        <v>220000</v>
      </c>
      <c r="M38" s="86">
        <v>3.5999999999999999E-3</v>
      </c>
    </row>
    <row r="39" spans="1:13" customFormat="1" ht="16.5" x14ac:dyDescent="0.4">
      <c r="A39" s="72">
        <v>20240712</v>
      </c>
      <c r="B39" s="82" t="s">
        <v>15</v>
      </c>
      <c r="C39" s="83">
        <v>619462</v>
      </c>
      <c r="D39" s="83">
        <v>4293</v>
      </c>
      <c r="E39" s="86">
        <v>6.8999999999999999E-3</v>
      </c>
      <c r="F39" s="85">
        <v>622088</v>
      </c>
      <c r="G39" s="85">
        <v>4369</v>
      </c>
      <c r="H39" s="87">
        <v>7.0000000000000001E-3</v>
      </c>
      <c r="I39" s="85">
        <v>1492</v>
      </c>
      <c r="J39" s="88">
        <v>1.0042</v>
      </c>
      <c r="K39" s="85">
        <v>1780</v>
      </c>
      <c r="L39" s="85">
        <v>220000</v>
      </c>
      <c r="M39" s="86">
        <v>2.8999999999999998E-3</v>
      </c>
    </row>
    <row r="40" spans="1:13" customFormat="1" ht="16.5" x14ac:dyDescent="0.4">
      <c r="A40" s="72">
        <v>20240711</v>
      </c>
      <c r="B40" s="82" t="s">
        <v>15</v>
      </c>
      <c r="C40" s="83">
        <v>4516222</v>
      </c>
      <c r="D40" s="83">
        <v>8861</v>
      </c>
      <c r="E40" s="86">
        <v>2E-3</v>
      </c>
      <c r="F40" s="85">
        <v>5121319</v>
      </c>
      <c r="G40" s="85">
        <v>9140</v>
      </c>
      <c r="H40" s="87">
        <v>1.8E-3</v>
      </c>
      <c r="I40" s="85">
        <v>3714</v>
      </c>
      <c r="J40" s="88">
        <v>1.1339999999999999</v>
      </c>
      <c r="K40" s="85">
        <v>3390</v>
      </c>
      <c r="L40" s="85">
        <v>220000</v>
      </c>
      <c r="M40" s="86">
        <v>6.9999999999999999E-4</v>
      </c>
    </row>
    <row r="41" spans="1:13" customFormat="1" ht="16.5" x14ac:dyDescent="0.4">
      <c r="A41" s="72">
        <v>20240710</v>
      </c>
      <c r="B41" s="82" t="s">
        <v>15</v>
      </c>
      <c r="C41" s="83">
        <v>620341</v>
      </c>
      <c r="D41" s="83">
        <v>7172</v>
      </c>
      <c r="E41" s="86">
        <v>1.1599999999999999E-2</v>
      </c>
      <c r="F41" s="85">
        <v>629907</v>
      </c>
      <c r="G41" s="85">
        <v>7410</v>
      </c>
      <c r="H41" s="87">
        <v>1.18E-2</v>
      </c>
      <c r="I41" s="85">
        <v>2520</v>
      </c>
      <c r="J41" s="88">
        <v>1.0154000000000001</v>
      </c>
      <c r="K41" s="85">
        <v>2999</v>
      </c>
      <c r="L41" s="85">
        <v>220000</v>
      </c>
      <c r="M41" s="86">
        <v>4.7999999999999996E-3</v>
      </c>
    </row>
    <row r="42" spans="1:13" customFormat="1" ht="16.5" x14ac:dyDescent="0.4">
      <c r="A42" s="72">
        <v>20240709</v>
      </c>
      <c r="B42" s="82" t="s">
        <v>15</v>
      </c>
      <c r="C42" s="83">
        <v>4687973</v>
      </c>
      <c r="D42" s="83">
        <v>47614</v>
      </c>
      <c r="E42" s="86">
        <v>1.0200000000000001E-2</v>
      </c>
      <c r="F42" s="85">
        <v>5981651</v>
      </c>
      <c r="G42" s="85">
        <v>50478</v>
      </c>
      <c r="H42" s="87">
        <v>8.3999999999999995E-3</v>
      </c>
      <c r="I42" s="85">
        <v>24055</v>
      </c>
      <c r="J42" s="88">
        <v>1.276</v>
      </c>
      <c r="K42" s="85">
        <v>15482</v>
      </c>
      <c r="L42" s="85">
        <v>220000</v>
      </c>
      <c r="M42" s="86">
        <v>2.5999999999999999E-3</v>
      </c>
    </row>
    <row r="43" spans="1:13" customFormat="1" ht="16.5" x14ac:dyDescent="0.4">
      <c r="A43" s="72">
        <v>20240708</v>
      </c>
      <c r="B43" s="82" t="s">
        <v>15</v>
      </c>
      <c r="C43" s="83">
        <v>622369</v>
      </c>
      <c r="D43" s="83">
        <v>5370</v>
      </c>
      <c r="E43" s="86">
        <v>8.6E-3</v>
      </c>
      <c r="F43" s="85">
        <v>626544</v>
      </c>
      <c r="G43" s="85">
        <v>5418</v>
      </c>
      <c r="H43" s="87">
        <v>8.6E-3</v>
      </c>
      <c r="I43" s="85">
        <v>1831</v>
      </c>
      <c r="J43" s="88">
        <v>1.0066999999999999</v>
      </c>
      <c r="K43" s="85">
        <v>2458</v>
      </c>
      <c r="L43" s="85">
        <v>220000</v>
      </c>
      <c r="M43" s="86">
        <v>3.8999999999999998E-3</v>
      </c>
    </row>
    <row r="44" spans="1:13" customFormat="1" ht="16.5" x14ac:dyDescent="0.4">
      <c r="A44" s="72">
        <v>20240707</v>
      </c>
      <c r="B44" s="82" t="s">
        <v>15</v>
      </c>
      <c r="C44" s="83">
        <v>616632</v>
      </c>
      <c r="D44" s="83">
        <v>5760</v>
      </c>
      <c r="E44" s="86">
        <v>9.2999999999999992E-3</v>
      </c>
      <c r="F44" s="85">
        <v>620669</v>
      </c>
      <c r="G44" s="85">
        <v>5875</v>
      </c>
      <c r="H44" s="87">
        <v>9.4999999999999998E-3</v>
      </c>
      <c r="I44" s="85">
        <v>1977</v>
      </c>
      <c r="J44" s="88">
        <v>1.0065</v>
      </c>
      <c r="K44" s="85">
        <v>2432</v>
      </c>
      <c r="L44" s="85">
        <v>220000</v>
      </c>
      <c r="M44" s="86">
        <v>3.8999999999999998E-3</v>
      </c>
    </row>
    <row r="45" spans="1:13" customFormat="1" ht="16.5" x14ac:dyDescent="0.4">
      <c r="A45" s="72">
        <v>20240706</v>
      </c>
      <c r="B45" s="82" t="s">
        <v>15</v>
      </c>
      <c r="C45" s="83">
        <v>8817939</v>
      </c>
      <c r="D45" s="83">
        <v>42210</v>
      </c>
      <c r="E45" s="86">
        <v>4.7999999999999996E-3</v>
      </c>
      <c r="F45" s="85">
        <v>12017796</v>
      </c>
      <c r="G45" s="85">
        <v>44134</v>
      </c>
      <c r="H45" s="87">
        <v>3.7000000000000002E-3</v>
      </c>
      <c r="I45" s="85">
        <v>24603</v>
      </c>
      <c r="J45" s="88">
        <v>1.3629</v>
      </c>
      <c r="K45" s="85">
        <v>21924</v>
      </c>
      <c r="L45" s="85">
        <v>220000</v>
      </c>
      <c r="M45" s="86">
        <v>1.8E-3</v>
      </c>
    </row>
    <row r="46" spans="1:13" customFormat="1" ht="16.5" x14ac:dyDescent="0.4">
      <c r="A46" s="72">
        <v>20240705</v>
      </c>
      <c r="B46" s="82" t="s">
        <v>15</v>
      </c>
      <c r="C46" s="83">
        <v>2841543</v>
      </c>
      <c r="D46" s="83">
        <v>20440</v>
      </c>
      <c r="E46" s="86">
        <v>7.1999999999999998E-3</v>
      </c>
      <c r="F46" s="85">
        <v>5219053</v>
      </c>
      <c r="G46" s="85">
        <v>22069</v>
      </c>
      <c r="H46" s="87">
        <v>4.1999999999999997E-3</v>
      </c>
      <c r="I46" s="85">
        <v>8736</v>
      </c>
      <c r="J46" s="88">
        <v>1.8367</v>
      </c>
      <c r="K46" s="85">
        <v>6271</v>
      </c>
      <c r="L46" s="85">
        <v>220000</v>
      </c>
      <c r="M46" s="86">
        <v>1.1999999999999999E-3</v>
      </c>
    </row>
    <row r="47" spans="1:13" customFormat="1" ht="16.5" x14ac:dyDescent="0.4">
      <c r="A47" s="72">
        <v>20240704</v>
      </c>
      <c r="B47" s="82" t="s">
        <v>15</v>
      </c>
      <c r="C47" s="83">
        <v>1768243</v>
      </c>
      <c r="D47" s="83">
        <v>12243</v>
      </c>
      <c r="E47" s="86">
        <v>6.8999999999999999E-3</v>
      </c>
      <c r="F47" s="85">
        <v>2376429</v>
      </c>
      <c r="G47" s="85">
        <v>12554</v>
      </c>
      <c r="H47" s="87">
        <v>5.3E-3</v>
      </c>
      <c r="I47" s="85">
        <v>5323</v>
      </c>
      <c r="J47" s="88">
        <v>1.3439000000000001</v>
      </c>
      <c r="K47" s="85">
        <v>4983</v>
      </c>
      <c r="L47" s="85">
        <v>220000</v>
      </c>
      <c r="M47" s="86">
        <v>2.0999999999999999E-3</v>
      </c>
    </row>
    <row r="48" spans="1:13" customFormat="1" ht="16.5" x14ac:dyDescent="0.4">
      <c r="A48" s="72">
        <v>20240703</v>
      </c>
      <c r="B48" s="82" t="s">
        <v>15</v>
      </c>
      <c r="C48" s="83">
        <v>619531</v>
      </c>
      <c r="D48" s="83">
        <v>5963</v>
      </c>
      <c r="E48" s="86">
        <v>9.5999999999999992E-3</v>
      </c>
      <c r="F48" s="85">
        <v>622955</v>
      </c>
      <c r="G48" s="85">
        <v>6044</v>
      </c>
      <c r="H48" s="87">
        <v>9.7000000000000003E-3</v>
      </c>
      <c r="I48" s="85">
        <v>2057</v>
      </c>
      <c r="J48" s="88">
        <v>1.0055000000000001</v>
      </c>
      <c r="K48" s="85">
        <v>2617</v>
      </c>
      <c r="L48" s="85">
        <v>220000</v>
      </c>
      <c r="M48" s="86">
        <v>4.1999999999999997E-3</v>
      </c>
    </row>
    <row r="49" spans="1:13" customFormat="1" ht="16.5" x14ac:dyDescent="0.4">
      <c r="A49" s="72">
        <v>20240702</v>
      </c>
      <c r="B49" s="82" t="s">
        <v>15</v>
      </c>
      <c r="C49" s="83">
        <v>1040738</v>
      </c>
      <c r="D49" s="83">
        <v>8933</v>
      </c>
      <c r="E49" s="86">
        <v>8.6E-3</v>
      </c>
      <c r="F49" s="85">
        <v>1649441</v>
      </c>
      <c r="G49" s="85">
        <v>9263</v>
      </c>
      <c r="H49" s="87">
        <v>5.5999999999999999E-3</v>
      </c>
      <c r="I49" s="85">
        <v>3461</v>
      </c>
      <c r="J49" s="88">
        <v>1.5849</v>
      </c>
      <c r="K49" s="85">
        <v>2679</v>
      </c>
      <c r="L49" s="85">
        <v>220000</v>
      </c>
      <c r="M49" s="86">
        <v>1.6000000000000001E-3</v>
      </c>
    </row>
    <row r="50" spans="1:13" customFormat="1" ht="16.5" x14ac:dyDescent="0.4">
      <c r="A50" s="72">
        <v>20240701</v>
      </c>
      <c r="B50" s="82" t="s">
        <v>15</v>
      </c>
      <c r="C50" s="83">
        <v>625000</v>
      </c>
      <c r="D50" s="83">
        <v>5132</v>
      </c>
      <c r="E50" s="86">
        <v>8.2000000000000007E-3</v>
      </c>
      <c r="F50" s="85">
        <v>629396</v>
      </c>
      <c r="G50" s="85">
        <v>5288</v>
      </c>
      <c r="H50" s="87">
        <v>8.3999999999999995E-3</v>
      </c>
      <c r="I50" s="85">
        <v>1659</v>
      </c>
      <c r="J50" s="88">
        <v>1.0069999999999999</v>
      </c>
      <c r="K50" s="85">
        <v>2088</v>
      </c>
      <c r="L50" s="85">
        <v>220000</v>
      </c>
      <c r="M50" s="86">
        <v>3.3E-3</v>
      </c>
    </row>
    <row r="51" spans="1:13" customFormat="1" ht="16.5" x14ac:dyDescent="0.4">
      <c r="A51" s="22" t="s">
        <v>973</v>
      </c>
      <c r="B51" s="52" t="s">
        <v>15</v>
      </c>
      <c r="C51" s="83">
        <v>1340763.9333333333</v>
      </c>
      <c r="D51" s="83">
        <v>14019</v>
      </c>
      <c r="E51" s="86">
        <v>1.1353333333333335E-2</v>
      </c>
      <c r="F51" s="85">
        <v>2019894.4</v>
      </c>
      <c r="G51" s="85">
        <v>15565.566666666668</v>
      </c>
      <c r="H51" s="87">
        <v>7.8366666666666671E-3</v>
      </c>
      <c r="I51" s="85">
        <v>5888.5</v>
      </c>
      <c r="J51" s="88">
        <v>1.4446300000000001</v>
      </c>
      <c r="K51" s="85">
        <v>4749.0333333333338</v>
      </c>
      <c r="L51" s="85">
        <v>220000</v>
      </c>
      <c r="M51" s="86">
        <v>2.8433333333333323E-3</v>
      </c>
    </row>
    <row r="52" spans="1:13" customFormat="1" ht="16.5" x14ac:dyDescent="0.4">
      <c r="A52" s="22" t="s">
        <v>892</v>
      </c>
      <c r="B52" s="52" t="s">
        <v>15</v>
      </c>
      <c r="C52" s="83">
        <v>1992322.6451612904</v>
      </c>
      <c r="D52" s="83">
        <v>18078.290322580644</v>
      </c>
      <c r="E52" s="86">
        <v>1.0035483870967742E-2</v>
      </c>
      <c r="F52" s="85">
        <v>3311211.5483870967</v>
      </c>
      <c r="G52" s="85">
        <v>20127.16129032258</v>
      </c>
      <c r="H52" s="87">
        <v>7.0677419354838724E-3</v>
      </c>
      <c r="I52" s="85">
        <v>7802.3548387096771</v>
      </c>
      <c r="J52" s="88">
        <v>1.5194290322580644</v>
      </c>
      <c r="K52" s="85">
        <v>6681.8709677419356</v>
      </c>
      <c r="L52" s="85">
        <v>220000</v>
      </c>
      <c r="M52" s="86">
        <v>2.6903225806451611E-3</v>
      </c>
    </row>
    <row r="53" spans="1:13" customFormat="1" ht="16.5" x14ac:dyDescent="0.4">
      <c r="A53" s="22" t="s">
        <v>756</v>
      </c>
      <c r="B53" s="52" t="s">
        <v>15</v>
      </c>
      <c r="C53" s="83">
        <v>2085541.8</v>
      </c>
      <c r="D53" s="83">
        <v>20927.166666666668</v>
      </c>
      <c r="E53" s="86">
        <v>1.2286666666666668E-2</v>
      </c>
      <c r="F53" s="85">
        <v>4196930.8666666662</v>
      </c>
      <c r="G53" s="85">
        <v>23283.599999999999</v>
      </c>
      <c r="H53" s="87">
        <v>6.5399999999999989E-3</v>
      </c>
      <c r="I53" s="85">
        <v>9718.5666666666675</v>
      </c>
      <c r="J53" s="88">
        <v>2.0091033333333339</v>
      </c>
      <c r="K53" s="85">
        <v>8439.6333333333332</v>
      </c>
      <c r="L53" s="85">
        <v>220000</v>
      </c>
      <c r="M53" s="86">
        <v>2.370000000000001E-3</v>
      </c>
    </row>
    <row r="54" spans="1:13" customFormat="1" ht="16.5" x14ac:dyDescent="0.4">
      <c r="A54" s="22" t="s">
        <v>662</v>
      </c>
      <c r="B54" s="52" t="s">
        <v>15</v>
      </c>
      <c r="C54" s="19">
        <v>2962316.7419354836</v>
      </c>
      <c r="D54" s="19">
        <v>25635.903225806451</v>
      </c>
      <c r="E54" s="35">
        <v>1.1145161290322581E-2</v>
      </c>
      <c r="F54" s="19">
        <v>5107452</v>
      </c>
      <c r="G54" s="19">
        <v>28809.451612903227</v>
      </c>
      <c r="H54" s="35">
        <v>6.4322580645161283E-3</v>
      </c>
      <c r="I54" s="19">
        <v>12633.709677419354</v>
      </c>
      <c r="J54" s="21">
        <v>1.8635129032258062</v>
      </c>
      <c r="K54" s="19">
        <v>10546.645161290322</v>
      </c>
      <c r="L54" s="19">
        <v>220000</v>
      </c>
      <c r="M54" s="35">
        <v>2.406451612903226E-3</v>
      </c>
    </row>
    <row r="55" spans="1:13" s="2" customFormat="1" ht="16.5" x14ac:dyDescent="0.4">
      <c r="A55" s="22" t="s">
        <v>530</v>
      </c>
      <c r="B55" s="52" t="s">
        <v>533</v>
      </c>
      <c r="C55" s="19">
        <v>1906692.7931034483</v>
      </c>
      <c r="D55" s="19">
        <v>16196.758620689656</v>
      </c>
      <c r="E55" s="35">
        <v>1.0058620689655177E-2</v>
      </c>
      <c r="F55" s="19">
        <v>2959524.9310344825</v>
      </c>
      <c r="G55" s="19">
        <v>17185.689655172413</v>
      </c>
      <c r="H55" s="35">
        <v>7.2172413793103445E-3</v>
      </c>
      <c r="I55" s="19">
        <v>7695.9310344827591</v>
      </c>
      <c r="J55" s="21">
        <v>1.4925241379310348</v>
      </c>
      <c r="K55" s="19">
        <v>6742.6551724137935</v>
      </c>
      <c r="L55" s="19">
        <v>220000</v>
      </c>
      <c r="M55" s="35">
        <v>2.9275862068965505E-3</v>
      </c>
    </row>
    <row r="56" spans="1:13" s="2" customFormat="1" ht="16.5" x14ac:dyDescent="0.4">
      <c r="A56" s="22" t="s">
        <v>464</v>
      </c>
      <c r="B56" s="52" t="s">
        <v>222</v>
      </c>
      <c r="C56" s="19">
        <v>3890115.7741935486</v>
      </c>
      <c r="D56" s="19">
        <v>33051.774193548386</v>
      </c>
      <c r="E56" s="35">
        <v>9.2709677419354833E-3</v>
      </c>
      <c r="F56" s="19">
        <v>9063195</v>
      </c>
      <c r="G56" s="19">
        <v>36477.387096774197</v>
      </c>
      <c r="H56" s="35">
        <v>4.6838709677419358E-3</v>
      </c>
      <c r="I56" s="19">
        <v>16044.41935483871</v>
      </c>
      <c r="J56" s="21">
        <v>2.278025806451613</v>
      </c>
      <c r="K56" s="19">
        <v>14962.225806451614</v>
      </c>
      <c r="L56" s="19">
        <v>220000</v>
      </c>
      <c r="M56" s="35">
        <v>2.0483870967741933E-3</v>
      </c>
    </row>
    <row r="57" spans="1:13" s="2" customFormat="1" ht="16.5" x14ac:dyDescent="0.4">
      <c r="A57" s="22" t="s">
        <v>215</v>
      </c>
      <c r="B57" s="52" t="s">
        <v>222</v>
      </c>
      <c r="C57" s="19">
        <v>3888630.8387096776</v>
      </c>
      <c r="D57" s="19">
        <v>30147</v>
      </c>
      <c r="E57" s="35">
        <v>8.5645161290322583E-3</v>
      </c>
      <c r="F57" s="19">
        <v>7766977.5483870972</v>
      </c>
      <c r="G57" s="19">
        <v>32942.451612903227</v>
      </c>
      <c r="H57" s="35">
        <v>4.4322580645161291E-3</v>
      </c>
      <c r="I57" s="19">
        <v>14438.645161290322</v>
      </c>
      <c r="J57" s="21">
        <v>1.9269774193548388</v>
      </c>
      <c r="K57" s="19">
        <v>13476.225806451614</v>
      </c>
      <c r="L57" s="19">
        <v>220000</v>
      </c>
      <c r="M57" s="35">
        <v>1.8774193548387098E-3</v>
      </c>
    </row>
    <row r="58" spans="1:13" s="2" customFormat="1" ht="16.5" x14ac:dyDescent="0.4">
      <c r="A58" s="22" t="s">
        <v>216</v>
      </c>
      <c r="B58" s="52" t="s">
        <v>222</v>
      </c>
      <c r="C58" s="19">
        <v>3511382.5666666669</v>
      </c>
      <c r="D58" s="19">
        <v>30438.2</v>
      </c>
      <c r="E58" s="35">
        <v>8.3166666666666649E-3</v>
      </c>
      <c r="F58" s="19">
        <v>6993280.3666666662</v>
      </c>
      <c r="G58" s="19">
        <v>34518.9</v>
      </c>
      <c r="H58" s="35">
        <v>4.9099999999999994E-3</v>
      </c>
      <c r="I58" s="19">
        <v>14119.633333333333</v>
      </c>
      <c r="J58" s="21">
        <v>1.825903333333333</v>
      </c>
      <c r="K58" s="19">
        <v>13201.366666666667</v>
      </c>
      <c r="L58" s="19">
        <v>220000</v>
      </c>
      <c r="M58" s="35">
        <v>2.1466666666666665E-3</v>
      </c>
    </row>
    <row r="59" spans="1:13" s="2" customFormat="1" ht="16.5" x14ac:dyDescent="0.4">
      <c r="A59" s="22" t="s">
        <v>217</v>
      </c>
      <c r="B59" s="52" t="s">
        <v>222</v>
      </c>
      <c r="C59" s="19">
        <v>5174200.0967741935</v>
      </c>
      <c r="D59" s="19">
        <v>62706.806451612902</v>
      </c>
      <c r="E59" s="20">
        <v>1.26741935483871E-2</v>
      </c>
      <c r="F59" s="19">
        <v>13020680.677419355</v>
      </c>
      <c r="G59" s="19">
        <v>74007.903225806454</v>
      </c>
      <c r="H59" s="20">
        <v>5.6032258064516128E-3</v>
      </c>
      <c r="I59" s="19">
        <v>30985.483870967742</v>
      </c>
      <c r="J59" s="71">
        <v>2.4790709677419356</v>
      </c>
      <c r="K59" s="19">
        <v>27798.709677419356</v>
      </c>
      <c r="L59" s="53">
        <v>220000</v>
      </c>
      <c r="M59" s="54">
        <v>2.2580645161290325E-3</v>
      </c>
    </row>
    <row r="60" spans="1:13" s="2" customFormat="1" ht="16.5" x14ac:dyDescent="0.4">
      <c r="A60" s="22" t="s">
        <v>219</v>
      </c>
      <c r="B60" s="52" t="s">
        <v>222</v>
      </c>
      <c r="C60" s="19">
        <v>4560564.5333333332</v>
      </c>
      <c r="D60" s="19">
        <v>33828.800000000003</v>
      </c>
      <c r="E60" s="20">
        <v>8.2733333333333322E-3</v>
      </c>
      <c r="F60" s="19">
        <v>8070890.1333333338</v>
      </c>
      <c r="G60" s="19">
        <v>35958.866666666669</v>
      </c>
      <c r="H60" s="20">
        <v>4.9300000000000012E-3</v>
      </c>
      <c r="I60" s="19">
        <v>16255.7</v>
      </c>
      <c r="J60" s="71">
        <v>1.7787499999999998</v>
      </c>
      <c r="K60" s="19">
        <v>15650.066666666668</v>
      </c>
      <c r="L60" s="53">
        <v>220000</v>
      </c>
      <c r="M60" s="54">
        <v>2.1566666666666665E-3</v>
      </c>
    </row>
    <row r="61" spans="1:13" s="2" customFormat="1" ht="16.5" x14ac:dyDescent="0.4">
      <c r="A61" s="22" t="s">
        <v>220</v>
      </c>
      <c r="B61" s="52" t="s">
        <v>222</v>
      </c>
      <c r="C61" s="19">
        <v>4458339.7419354841</v>
      </c>
      <c r="D61" s="19">
        <v>40351.419354838712</v>
      </c>
      <c r="E61" s="20">
        <v>9.0507726397093917E-3</v>
      </c>
      <c r="F61" s="19">
        <v>9504955.9032258056</v>
      </c>
      <c r="G61" s="19">
        <v>43710.967741935485</v>
      </c>
      <c r="H61" s="20">
        <v>4.5987554478922723E-3</v>
      </c>
      <c r="I61" s="19">
        <v>18890.225806451614</v>
      </c>
      <c r="J61" s="71">
        <v>2.1802580645161282</v>
      </c>
      <c r="K61" s="19">
        <v>18457.16129032258</v>
      </c>
      <c r="L61" s="53">
        <v>220000</v>
      </c>
      <c r="M61" s="20">
        <v>1.9418460725376496E-3</v>
      </c>
    </row>
    <row r="62" spans="1:13" s="2" customFormat="1" ht="16.5" x14ac:dyDescent="0.4">
      <c r="A62" s="22" t="s">
        <v>221</v>
      </c>
      <c r="B62" s="42" t="s">
        <v>222</v>
      </c>
      <c r="C62" s="19">
        <v>3876248.8387096776</v>
      </c>
      <c r="D62" s="19">
        <v>36814.193548387098</v>
      </c>
      <c r="E62" s="20">
        <f>D62/C62</f>
        <v>9.4973762212442938E-3</v>
      </c>
      <c r="F62" s="19">
        <v>6218642.6451612907</v>
      </c>
      <c r="G62" s="19">
        <v>38819.612903225803</v>
      </c>
      <c r="H62" s="20">
        <v>6.2677419354838703E-3</v>
      </c>
      <c r="I62" s="19">
        <v>16951.870967741936</v>
      </c>
      <c r="J62" s="21">
        <v>1.5755645161290321</v>
      </c>
      <c r="K62" s="19">
        <v>15437.709677419354</v>
      </c>
      <c r="L62" s="19">
        <v>220000</v>
      </c>
      <c r="M62" s="20">
        <v>2.6516129032258069E-3</v>
      </c>
    </row>
    <row r="63" spans="1:13" s="2" customFormat="1" ht="16.5" x14ac:dyDescent="0.4">
      <c r="A63" s="25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13" s="2" customFormat="1" ht="16.5" x14ac:dyDescent="0.4">
      <c r="A64" s="25"/>
      <c r="B64" s="25"/>
      <c r="C64" s="25"/>
      <c r="D64" s="25"/>
      <c r="E64" s="29"/>
      <c r="F64" s="25"/>
      <c r="G64" s="25"/>
      <c r="H64" s="29"/>
      <c r="I64" s="29"/>
      <c r="J64" s="30"/>
      <c r="K64" s="25"/>
      <c r="L64" s="24"/>
    </row>
    <row r="65" spans="1:13" s="2" customFormat="1" ht="15" x14ac:dyDescent="0.25">
      <c r="A65" s="18" t="s">
        <v>3</v>
      </c>
      <c r="B65" s="18" t="s">
        <v>4</v>
      </c>
      <c r="C65" s="18" t="s">
        <v>5</v>
      </c>
      <c r="D65" s="18" t="s">
        <v>6</v>
      </c>
      <c r="E65" s="18" t="s">
        <v>7</v>
      </c>
      <c r="F65" s="18" t="s">
        <v>8</v>
      </c>
      <c r="G65" s="18" t="s">
        <v>9</v>
      </c>
      <c r="H65" s="18" t="s">
        <v>10</v>
      </c>
      <c r="I65" s="18" t="s">
        <v>14</v>
      </c>
      <c r="J65" s="27" t="s">
        <v>11</v>
      </c>
      <c r="K65" s="18" t="s">
        <v>12</v>
      </c>
      <c r="L65" s="18" t="s">
        <v>99</v>
      </c>
      <c r="M65" s="18" t="s">
        <v>214</v>
      </c>
    </row>
    <row r="66" spans="1:13" customFormat="1" ht="16.5" x14ac:dyDescent="0.4">
      <c r="A66" s="72">
        <v>20240716</v>
      </c>
      <c r="B66" s="82" t="s">
        <v>16</v>
      </c>
      <c r="C66" s="83">
        <v>2347094</v>
      </c>
      <c r="D66" s="83">
        <v>165618</v>
      </c>
      <c r="E66" s="86">
        <v>7.0599999999999996E-2</v>
      </c>
      <c r="F66" s="85">
        <v>30491795</v>
      </c>
      <c r="G66" s="85">
        <v>288212</v>
      </c>
      <c r="H66" s="87">
        <v>9.4999999999999998E-3</v>
      </c>
      <c r="I66" s="85">
        <v>106763</v>
      </c>
      <c r="J66" s="88">
        <v>12.991300000000001</v>
      </c>
      <c r="K66" s="85">
        <v>61950</v>
      </c>
      <c r="L66" s="85">
        <v>280000</v>
      </c>
      <c r="M66" s="86">
        <v>2E-3</v>
      </c>
    </row>
    <row r="67" spans="1:13" customFormat="1" ht="16.5" x14ac:dyDescent="0.4">
      <c r="A67" s="72">
        <v>20240716</v>
      </c>
      <c r="B67" s="82" t="s">
        <v>16</v>
      </c>
      <c r="C67" s="83">
        <v>2347094</v>
      </c>
      <c r="D67" s="83">
        <v>165618</v>
      </c>
      <c r="E67" s="86">
        <v>7.0599999999999996E-2</v>
      </c>
      <c r="F67" s="85">
        <v>30491795</v>
      </c>
      <c r="G67" s="85">
        <v>288212</v>
      </c>
      <c r="H67" s="87">
        <v>9.4999999999999998E-3</v>
      </c>
      <c r="I67" s="85">
        <v>106763</v>
      </c>
      <c r="J67" s="88">
        <v>12.991300000000001</v>
      </c>
      <c r="K67" s="85">
        <v>61950</v>
      </c>
      <c r="L67" s="85">
        <v>280000</v>
      </c>
      <c r="M67" s="86">
        <v>2E-3</v>
      </c>
    </row>
    <row r="68" spans="1:13" customFormat="1" ht="16.5" x14ac:dyDescent="0.4">
      <c r="A68" s="72">
        <v>20240715</v>
      </c>
      <c r="B68" s="82" t="s">
        <v>16</v>
      </c>
      <c r="C68" s="83">
        <v>2198198</v>
      </c>
      <c r="D68" s="83">
        <v>152778</v>
      </c>
      <c r="E68" s="86">
        <v>6.9500000000000006E-2</v>
      </c>
      <c r="F68" s="85">
        <v>25606702</v>
      </c>
      <c r="G68" s="85">
        <v>253853</v>
      </c>
      <c r="H68" s="87">
        <v>9.9000000000000008E-3</v>
      </c>
      <c r="I68" s="85">
        <v>92493</v>
      </c>
      <c r="J68" s="88">
        <v>11.648999999999999</v>
      </c>
      <c r="K68" s="85">
        <v>55124</v>
      </c>
      <c r="L68" s="85">
        <v>280000</v>
      </c>
      <c r="M68" s="86">
        <v>2.2000000000000001E-3</v>
      </c>
    </row>
    <row r="69" spans="1:13" customFormat="1" ht="16.5" x14ac:dyDescent="0.4">
      <c r="A69" s="72">
        <v>20240714</v>
      </c>
      <c r="B69" s="82" t="s">
        <v>16</v>
      </c>
      <c r="C69" s="83">
        <v>2166474</v>
      </c>
      <c r="D69" s="83">
        <v>179530</v>
      </c>
      <c r="E69" s="86">
        <v>8.2900000000000001E-2</v>
      </c>
      <c r="F69" s="85">
        <v>29218139</v>
      </c>
      <c r="G69" s="85">
        <v>338812</v>
      </c>
      <c r="H69" s="87">
        <v>1.1599999999999999E-2</v>
      </c>
      <c r="I69" s="85">
        <v>88604</v>
      </c>
      <c r="J69" s="88">
        <v>13.486499999999999</v>
      </c>
      <c r="K69" s="85">
        <v>73069</v>
      </c>
      <c r="L69" s="85">
        <v>280000</v>
      </c>
      <c r="M69" s="86">
        <v>2.5000000000000001E-3</v>
      </c>
    </row>
    <row r="70" spans="1:13" customFormat="1" ht="16.5" x14ac:dyDescent="0.4">
      <c r="A70" s="72">
        <v>20240713</v>
      </c>
      <c r="B70" s="82" t="s">
        <v>16</v>
      </c>
      <c r="C70" s="83">
        <v>2215781</v>
      </c>
      <c r="D70" s="83">
        <v>138837</v>
      </c>
      <c r="E70" s="86">
        <v>6.2700000000000006E-2</v>
      </c>
      <c r="F70" s="85">
        <v>23250764</v>
      </c>
      <c r="G70" s="85">
        <v>230605</v>
      </c>
      <c r="H70" s="87">
        <v>9.9000000000000008E-3</v>
      </c>
      <c r="I70" s="85">
        <v>85312</v>
      </c>
      <c r="J70" s="88">
        <v>10.4933</v>
      </c>
      <c r="K70" s="85">
        <v>57111</v>
      </c>
      <c r="L70" s="85">
        <v>280000</v>
      </c>
      <c r="M70" s="86">
        <v>2.5000000000000001E-3</v>
      </c>
    </row>
    <row r="71" spans="1:13" customFormat="1" ht="16.5" x14ac:dyDescent="0.4">
      <c r="A71" s="72">
        <v>20240712</v>
      </c>
      <c r="B71" s="82" t="s">
        <v>16</v>
      </c>
      <c r="C71" s="83">
        <v>2100806</v>
      </c>
      <c r="D71" s="83">
        <v>143957</v>
      </c>
      <c r="E71" s="86">
        <v>6.8500000000000005E-2</v>
      </c>
      <c r="F71" s="85">
        <v>24514312</v>
      </c>
      <c r="G71" s="85">
        <v>240604</v>
      </c>
      <c r="H71" s="87">
        <v>9.7999999999999997E-3</v>
      </c>
      <c r="I71" s="85">
        <v>88583</v>
      </c>
      <c r="J71" s="88">
        <v>11.669</v>
      </c>
      <c r="K71" s="85">
        <v>52712</v>
      </c>
      <c r="L71" s="85">
        <v>280000</v>
      </c>
      <c r="M71" s="86">
        <v>2.2000000000000001E-3</v>
      </c>
    </row>
    <row r="72" spans="1:13" customFormat="1" ht="16.5" x14ac:dyDescent="0.4">
      <c r="A72" s="72">
        <v>20240711</v>
      </c>
      <c r="B72" s="82" t="s">
        <v>16</v>
      </c>
      <c r="C72" s="83">
        <v>1865057</v>
      </c>
      <c r="D72" s="83">
        <v>144569</v>
      </c>
      <c r="E72" s="86">
        <v>7.7499999999999999E-2</v>
      </c>
      <c r="F72" s="85">
        <v>25444744</v>
      </c>
      <c r="G72" s="85">
        <v>246564</v>
      </c>
      <c r="H72" s="87">
        <v>9.7000000000000003E-3</v>
      </c>
      <c r="I72" s="85">
        <v>89853</v>
      </c>
      <c r="J72" s="88">
        <v>13.642899999999999</v>
      </c>
      <c r="K72" s="85">
        <v>55114</v>
      </c>
      <c r="L72" s="85">
        <v>280000</v>
      </c>
      <c r="M72" s="86">
        <v>2.2000000000000001E-3</v>
      </c>
    </row>
    <row r="73" spans="1:13" customFormat="1" ht="16.5" x14ac:dyDescent="0.4">
      <c r="A73" s="72">
        <v>20240710</v>
      </c>
      <c r="B73" s="82" t="s">
        <v>16</v>
      </c>
      <c r="C73" s="83">
        <v>3142588</v>
      </c>
      <c r="D73" s="83">
        <v>149679</v>
      </c>
      <c r="E73" s="86">
        <v>4.7600000000000003E-2</v>
      </c>
      <c r="F73" s="85">
        <v>26931026</v>
      </c>
      <c r="G73" s="85">
        <v>247612</v>
      </c>
      <c r="H73" s="87">
        <v>9.1999999999999998E-3</v>
      </c>
      <c r="I73" s="85">
        <v>96191</v>
      </c>
      <c r="J73" s="88">
        <v>8.5696999999999992</v>
      </c>
      <c r="K73" s="85">
        <v>57881</v>
      </c>
      <c r="L73" s="85">
        <v>280000</v>
      </c>
      <c r="M73" s="86">
        <v>2.0999999999999999E-3</v>
      </c>
    </row>
    <row r="74" spans="1:13" customFormat="1" ht="16.5" x14ac:dyDescent="0.4">
      <c r="A74" s="72">
        <v>20240709</v>
      </c>
      <c r="B74" s="82" t="s">
        <v>16</v>
      </c>
      <c r="C74" s="83">
        <v>2062431</v>
      </c>
      <c r="D74" s="83">
        <v>150405</v>
      </c>
      <c r="E74" s="86">
        <v>7.2900000000000006E-2</v>
      </c>
      <c r="F74" s="85">
        <v>26995736</v>
      </c>
      <c r="G74" s="85">
        <v>257958</v>
      </c>
      <c r="H74" s="87">
        <v>9.5999999999999992E-3</v>
      </c>
      <c r="I74" s="85">
        <v>88356</v>
      </c>
      <c r="J74" s="88">
        <v>13.0893</v>
      </c>
      <c r="K74" s="85">
        <v>52138</v>
      </c>
      <c r="L74" s="85">
        <v>280000</v>
      </c>
      <c r="M74" s="86">
        <v>1.9E-3</v>
      </c>
    </row>
    <row r="75" spans="1:13" customFormat="1" ht="16.5" x14ac:dyDescent="0.4">
      <c r="A75" s="72">
        <v>20240708</v>
      </c>
      <c r="B75" s="82" t="s">
        <v>16</v>
      </c>
      <c r="C75" s="83">
        <v>2425320</v>
      </c>
      <c r="D75" s="83">
        <v>146394</v>
      </c>
      <c r="E75" s="86">
        <v>6.0400000000000002E-2</v>
      </c>
      <c r="F75" s="85">
        <v>28134543</v>
      </c>
      <c r="G75" s="85">
        <v>252929</v>
      </c>
      <c r="H75" s="87">
        <v>8.9999999999999993E-3</v>
      </c>
      <c r="I75" s="85">
        <v>93618</v>
      </c>
      <c r="J75" s="88">
        <v>11.600300000000001</v>
      </c>
      <c r="K75" s="85">
        <v>54957</v>
      </c>
      <c r="L75" s="85">
        <v>280000</v>
      </c>
      <c r="M75" s="86">
        <v>2E-3</v>
      </c>
    </row>
    <row r="76" spans="1:13" customFormat="1" ht="16.5" x14ac:dyDescent="0.4">
      <c r="A76" s="72">
        <v>20240707</v>
      </c>
      <c r="B76" s="82" t="s">
        <v>16</v>
      </c>
      <c r="C76" s="83">
        <v>1922511</v>
      </c>
      <c r="D76" s="83">
        <v>138002</v>
      </c>
      <c r="E76" s="86">
        <v>7.1800000000000003E-2</v>
      </c>
      <c r="F76" s="85">
        <v>21313546</v>
      </c>
      <c r="G76" s="85">
        <v>225918</v>
      </c>
      <c r="H76" s="87">
        <v>1.06E-2</v>
      </c>
      <c r="I76" s="85">
        <v>87886</v>
      </c>
      <c r="J76" s="88">
        <v>11.0863</v>
      </c>
      <c r="K76" s="85">
        <v>53373</v>
      </c>
      <c r="L76" s="85">
        <v>280000</v>
      </c>
      <c r="M76" s="86">
        <v>2.5000000000000001E-3</v>
      </c>
    </row>
    <row r="77" spans="1:13" customFormat="1" ht="16.5" x14ac:dyDescent="0.4">
      <c r="A77" s="72">
        <v>20240706</v>
      </c>
      <c r="B77" s="82" t="s">
        <v>16</v>
      </c>
      <c r="C77" s="83">
        <v>1707759</v>
      </c>
      <c r="D77" s="83">
        <v>139304</v>
      </c>
      <c r="E77" s="86">
        <v>8.1600000000000006E-2</v>
      </c>
      <c r="F77" s="85">
        <v>24827647</v>
      </c>
      <c r="G77" s="85">
        <v>236958</v>
      </c>
      <c r="H77" s="87">
        <v>9.4999999999999998E-3</v>
      </c>
      <c r="I77" s="85">
        <v>86176</v>
      </c>
      <c r="J77" s="88">
        <v>14.5381</v>
      </c>
      <c r="K77" s="85">
        <v>54591</v>
      </c>
      <c r="L77" s="85">
        <v>280000</v>
      </c>
      <c r="M77" s="86">
        <v>2.2000000000000001E-3</v>
      </c>
    </row>
    <row r="78" spans="1:13" customFormat="1" ht="16.5" x14ac:dyDescent="0.4">
      <c r="A78" s="72">
        <v>20240705</v>
      </c>
      <c r="B78" s="82" t="s">
        <v>16</v>
      </c>
      <c r="C78" s="83">
        <v>1878495</v>
      </c>
      <c r="D78" s="83">
        <v>153834</v>
      </c>
      <c r="E78" s="86">
        <v>8.1900000000000001E-2</v>
      </c>
      <c r="F78" s="85">
        <v>29068963</v>
      </c>
      <c r="G78" s="85">
        <v>269985</v>
      </c>
      <c r="H78" s="87">
        <v>9.2999999999999992E-3</v>
      </c>
      <c r="I78" s="85">
        <v>97872</v>
      </c>
      <c r="J78" s="88">
        <v>15.474600000000001</v>
      </c>
      <c r="K78" s="85">
        <v>60161</v>
      </c>
      <c r="L78" s="85">
        <v>280000</v>
      </c>
      <c r="M78" s="86">
        <v>2.0999999999999999E-3</v>
      </c>
    </row>
    <row r="79" spans="1:13" customFormat="1" ht="16.5" x14ac:dyDescent="0.4">
      <c r="A79" s="72">
        <v>20240704</v>
      </c>
      <c r="B79" s="82" t="s">
        <v>16</v>
      </c>
      <c r="C79" s="83">
        <v>2395221</v>
      </c>
      <c r="D79" s="83">
        <v>138982</v>
      </c>
      <c r="E79" s="86">
        <v>5.8000000000000003E-2</v>
      </c>
      <c r="F79" s="85">
        <v>25781876</v>
      </c>
      <c r="G79" s="85">
        <v>232673</v>
      </c>
      <c r="H79" s="87">
        <v>8.9999999999999993E-3</v>
      </c>
      <c r="I79" s="85">
        <v>88533</v>
      </c>
      <c r="J79" s="88">
        <v>10.7639</v>
      </c>
      <c r="K79" s="85">
        <v>49811</v>
      </c>
      <c r="L79" s="85">
        <v>280000</v>
      </c>
      <c r="M79" s="86">
        <v>1.9E-3</v>
      </c>
    </row>
    <row r="80" spans="1:13" customFormat="1" ht="16.5" x14ac:dyDescent="0.4">
      <c r="A80" s="72">
        <v>20240703</v>
      </c>
      <c r="B80" s="82" t="s">
        <v>16</v>
      </c>
      <c r="C80" s="83">
        <v>2749894</v>
      </c>
      <c r="D80" s="83">
        <v>139817</v>
      </c>
      <c r="E80" s="86">
        <v>5.0799999999999998E-2</v>
      </c>
      <c r="F80" s="85">
        <v>26427426</v>
      </c>
      <c r="G80" s="85">
        <v>233962</v>
      </c>
      <c r="H80" s="87">
        <v>8.8999999999999999E-3</v>
      </c>
      <c r="I80" s="85">
        <v>85666</v>
      </c>
      <c r="J80" s="88">
        <v>9.6103000000000005</v>
      </c>
      <c r="K80" s="85">
        <v>51066</v>
      </c>
      <c r="L80" s="85">
        <v>280000</v>
      </c>
      <c r="M80" s="86">
        <v>1.9E-3</v>
      </c>
    </row>
    <row r="81" spans="1:13" customFormat="1" ht="16.5" x14ac:dyDescent="0.4">
      <c r="A81" s="72">
        <v>20240702</v>
      </c>
      <c r="B81" s="82" t="s">
        <v>16</v>
      </c>
      <c r="C81" s="83">
        <v>2094555</v>
      </c>
      <c r="D81" s="83">
        <v>159414</v>
      </c>
      <c r="E81" s="86">
        <v>7.6100000000000001E-2</v>
      </c>
      <c r="F81" s="85">
        <v>29567385</v>
      </c>
      <c r="G81" s="85">
        <v>278282</v>
      </c>
      <c r="H81" s="87">
        <v>9.4000000000000004E-3</v>
      </c>
      <c r="I81" s="85">
        <v>103961</v>
      </c>
      <c r="J81" s="88">
        <v>14.116300000000001</v>
      </c>
      <c r="K81" s="85">
        <v>63265</v>
      </c>
      <c r="L81" s="85">
        <v>280000</v>
      </c>
      <c r="M81" s="86">
        <v>2.0999999999999999E-3</v>
      </c>
    </row>
    <row r="82" spans="1:13" customFormat="1" ht="16.5" x14ac:dyDescent="0.4">
      <c r="A82" s="72">
        <v>20240701</v>
      </c>
      <c r="B82" s="82" t="s">
        <v>16</v>
      </c>
      <c r="C82" s="83">
        <v>2090882</v>
      </c>
      <c r="D82" s="83">
        <v>175080</v>
      </c>
      <c r="E82" s="86">
        <v>8.3699999999999997E-2</v>
      </c>
      <c r="F82" s="85">
        <v>27174912</v>
      </c>
      <c r="G82" s="85">
        <v>308160</v>
      </c>
      <c r="H82" s="87">
        <v>1.1299999999999999E-2</v>
      </c>
      <c r="I82" s="85">
        <v>113589</v>
      </c>
      <c r="J82" s="88">
        <v>12.9969</v>
      </c>
      <c r="K82" s="85">
        <v>71907</v>
      </c>
      <c r="L82" s="85">
        <v>280000</v>
      </c>
      <c r="M82" s="86">
        <v>2.5999999999999999E-3</v>
      </c>
    </row>
    <row r="83" spans="1:13" customFormat="1" ht="16.5" x14ac:dyDescent="0.4">
      <c r="A83" s="22" t="s">
        <v>974</v>
      </c>
      <c r="B83" s="52" t="s">
        <v>16</v>
      </c>
      <c r="C83" s="83">
        <v>2110929.6</v>
      </c>
      <c r="D83" s="83">
        <v>132446.23333333334</v>
      </c>
      <c r="E83" s="86">
        <v>6.2970000000000012E-2</v>
      </c>
      <c r="F83" s="85">
        <v>23380006.233333334</v>
      </c>
      <c r="G83" s="85">
        <v>217509.23333333334</v>
      </c>
      <c r="H83" s="87">
        <v>9.323333333333331E-3</v>
      </c>
      <c r="I83" s="85">
        <v>86265.3</v>
      </c>
      <c r="J83" s="88">
        <v>11.095343333333336</v>
      </c>
      <c r="K83" s="85">
        <v>52203.533333333333</v>
      </c>
      <c r="L83" s="85">
        <v>280000</v>
      </c>
      <c r="M83" s="86">
        <v>2.2566666666666659E-3</v>
      </c>
    </row>
    <row r="84" spans="1:13" customFormat="1" ht="16.5" x14ac:dyDescent="0.4">
      <c r="A84" s="22" t="s">
        <v>893</v>
      </c>
      <c r="B84" s="52" t="s">
        <v>16</v>
      </c>
      <c r="C84" s="83">
        <v>2228263.0967741935</v>
      </c>
      <c r="D84" s="83">
        <v>131660.5806451613</v>
      </c>
      <c r="E84" s="86">
        <v>6.0019354838709675E-2</v>
      </c>
      <c r="F84" s="85">
        <v>21554032.935483869</v>
      </c>
      <c r="G84" s="85">
        <v>211938.80645161291</v>
      </c>
      <c r="H84" s="87">
        <v>9.7935483870967722E-3</v>
      </c>
      <c r="I84" s="85">
        <v>86133.161290322576</v>
      </c>
      <c r="J84" s="88">
        <v>9.8433354838709679</v>
      </c>
      <c r="K84" s="85">
        <v>52707.741935483871</v>
      </c>
      <c r="L84" s="85">
        <v>280000</v>
      </c>
      <c r="M84" s="86">
        <v>2.4419354838709677E-3</v>
      </c>
    </row>
    <row r="85" spans="1:13" customFormat="1" ht="16.5" x14ac:dyDescent="0.4">
      <c r="A85" s="22" t="s">
        <v>756</v>
      </c>
      <c r="B85" s="52" t="s">
        <v>16</v>
      </c>
      <c r="C85" s="83">
        <v>2231460.6</v>
      </c>
      <c r="D85" s="83">
        <v>130826.23333333334</v>
      </c>
      <c r="E85" s="86">
        <v>5.9420000000000001E-2</v>
      </c>
      <c r="F85" s="85">
        <v>23085654.333333332</v>
      </c>
      <c r="G85" s="85">
        <v>211161.36666666667</v>
      </c>
      <c r="H85" s="87">
        <v>9.1366666666666645E-3</v>
      </c>
      <c r="I85" s="85">
        <v>85560.833333333328</v>
      </c>
      <c r="J85" s="88">
        <v>10.486423333333335</v>
      </c>
      <c r="K85" s="85">
        <v>52314.2</v>
      </c>
      <c r="L85" s="85">
        <v>280000</v>
      </c>
      <c r="M85" s="86">
        <v>2.2733333333333329E-3</v>
      </c>
    </row>
    <row r="86" spans="1:13" customFormat="1" ht="16.5" x14ac:dyDescent="0.4">
      <c r="A86" s="22" t="s">
        <v>662</v>
      </c>
      <c r="B86" s="52" t="s">
        <v>16</v>
      </c>
      <c r="C86" s="19">
        <v>2245744.6129032257</v>
      </c>
      <c r="D86" s="19">
        <v>129209.51612903226</v>
      </c>
      <c r="E86" s="35">
        <v>5.8980645161290327E-2</v>
      </c>
      <c r="F86" s="19">
        <v>22258133.032258064</v>
      </c>
      <c r="G86" s="19">
        <v>203732.35483870967</v>
      </c>
      <c r="H86" s="35">
        <v>9.1967741935483818E-3</v>
      </c>
      <c r="I86" s="19">
        <v>85780.774193548394</v>
      </c>
      <c r="J86" s="21">
        <v>10.146822580645161</v>
      </c>
      <c r="K86" s="19">
        <v>51515.516129032258</v>
      </c>
      <c r="L86" s="19">
        <v>280000</v>
      </c>
      <c r="M86" s="35">
        <v>2.3354838709677421E-3</v>
      </c>
    </row>
    <row r="87" spans="1:13" s="2" customFormat="1" ht="16.5" x14ac:dyDescent="0.4">
      <c r="A87" s="22" t="s">
        <v>530</v>
      </c>
      <c r="B87" s="52" t="s">
        <v>534</v>
      </c>
      <c r="C87" s="19">
        <v>2372443.4482758623</v>
      </c>
      <c r="D87" s="19">
        <v>127914.89655172414</v>
      </c>
      <c r="E87" s="35">
        <v>5.4996551724137928E-2</v>
      </c>
      <c r="F87" s="19">
        <v>22125338.758620691</v>
      </c>
      <c r="G87" s="19">
        <v>196874.5172413793</v>
      </c>
      <c r="H87" s="35">
        <v>8.8655172413793105E-3</v>
      </c>
      <c r="I87" s="19">
        <v>84629.68965517242</v>
      </c>
      <c r="J87" s="21">
        <v>9.4801517241379329</v>
      </c>
      <c r="K87" s="19">
        <v>52016.34482758621</v>
      </c>
      <c r="L87" s="19">
        <v>280000</v>
      </c>
      <c r="M87" s="35">
        <v>2.3551724137931026E-3</v>
      </c>
    </row>
    <row r="88" spans="1:13" s="2" customFormat="1" ht="16.5" x14ac:dyDescent="0.4">
      <c r="A88" s="22" t="s">
        <v>465</v>
      </c>
      <c r="B88" s="52" t="s">
        <v>223</v>
      </c>
      <c r="C88" s="19">
        <v>2873046.5161290322</v>
      </c>
      <c r="D88" s="19">
        <v>180800.83870967742</v>
      </c>
      <c r="E88" s="35">
        <v>6.3922580645161292E-2</v>
      </c>
      <c r="F88" s="19">
        <v>42197221.709677421</v>
      </c>
      <c r="G88" s="19">
        <v>291734.70967741933</v>
      </c>
      <c r="H88" s="35">
        <v>6.9548387096774198E-3</v>
      </c>
      <c r="I88" s="19">
        <v>115239.19354838709</v>
      </c>
      <c r="J88" s="21">
        <v>14.929899999999998</v>
      </c>
      <c r="K88" s="19">
        <v>77147.967741935485</v>
      </c>
      <c r="L88" s="19">
        <v>280000</v>
      </c>
      <c r="M88" s="35">
        <v>1.8419354838709677E-3</v>
      </c>
    </row>
    <row r="89" spans="1:13" s="2" customFormat="1" ht="16.5" x14ac:dyDescent="0.4">
      <c r="A89" s="22" t="s">
        <v>215</v>
      </c>
      <c r="B89" s="52" t="s">
        <v>223</v>
      </c>
      <c r="C89" s="19">
        <v>3298256.6129032257</v>
      </c>
      <c r="D89" s="19">
        <v>190224.80645161291</v>
      </c>
      <c r="E89" s="35">
        <v>5.849999999999999E-2</v>
      </c>
      <c r="F89" s="19">
        <v>46060811.516129032</v>
      </c>
      <c r="G89" s="19">
        <v>303272</v>
      </c>
      <c r="H89" s="35">
        <v>6.6032258064516111E-3</v>
      </c>
      <c r="I89" s="19">
        <v>120567.06451612903</v>
      </c>
      <c r="J89" s="21">
        <v>14.185354838709676</v>
      </c>
      <c r="K89" s="19">
        <v>82497.967741935485</v>
      </c>
      <c r="L89" s="19">
        <v>280000</v>
      </c>
      <c r="M89" s="35">
        <v>1.7967741935483875E-3</v>
      </c>
    </row>
    <row r="90" spans="1:13" s="2" customFormat="1" ht="16.5" x14ac:dyDescent="0.4">
      <c r="A90" s="22" t="s">
        <v>216</v>
      </c>
      <c r="B90" s="52" t="s">
        <v>223</v>
      </c>
      <c r="C90" s="19">
        <v>3538502.3333333335</v>
      </c>
      <c r="D90" s="19">
        <v>194908.96666666667</v>
      </c>
      <c r="E90" s="35">
        <v>5.5436666666666676E-2</v>
      </c>
      <c r="F90" s="19">
        <v>45883732.966666669</v>
      </c>
      <c r="G90" s="19">
        <v>311295.86666666664</v>
      </c>
      <c r="H90" s="35">
        <v>6.7866666666666657E-3</v>
      </c>
      <c r="I90" s="19">
        <v>122882.56666666667</v>
      </c>
      <c r="J90" s="90">
        <v>13.025743333333333</v>
      </c>
      <c r="K90" s="19">
        <v>84260.833333333328</v>
      </c>
      <c r="L90" s="19">
        <v>280000</v>
      </c>
      <c r="M90" s="35">
        <v>1.8333333333333333E-3</v>
      </c>
    </row>
    <row r="91" spans="1:13" s="2" customFormat="1" ht="16.5" x14ac:dyDescent="0.4">
      <c r="A91" s="22" t="s">
        <v>225</v>
      </c>
      <c r="B91" s="52" t="s">
        <v>223</v>
      </c>
      <c r="C91" s="19">
        <v>3851352.9032258065</v>
      </c>
      <c r="D91" s="19">
        <v>230033.4193548387</v>
      </c>
      <c r="E91" s="20">
        <v>6.0164516129032265E-2</v>
      </c>
      <c r="F91" s="19">
        <v>51977586.064516127</v>
      </c>
      <c r="G91" s="19">
        <v>374408.48387096776</v>
      </c>
      <c r="H91" s="20">
        <v>7.2096774193548393E-3</v>
      </c>
      <c r="I91" s="19">
        <v>138545.5806451613</v>
      </c>
      <c r="J91" s="71">
        <v>13.584880645161293</v>
      </c>
      <c r="K91" s="19">
        <v>99751.548387096773</v>
      </c>
      <c r="L91" s="53">
        <v>280000</v>
      </c>
      <c r="M91" s="54">
        <v>1.9258064516129035E-3</v>
      </c>
    </row>
    <row r="92" spans="1:13" s="2" customFormat="1" ht="16.5" x14ac:dyDescent="0.4">
      <c r="A92" s="22" t="s">
        <v>219</v>
      </c>
      <c r="B92" s="52" t="s">
        <v>223</v>
      </c>
      <c r="C92" s="19">
        <v>3634279.6666666665</v>
      </c>
      <c r="D92" s="19">
        <v>204253.4</v>
      </c>
      <c r="E92" s="20">
        <v>5.6753333333333336E-2</v>
      </c>
      <c r="F92" s="19">
        <v>39734674.533333331</v>
      </c>
      <c r="G92" s="19">
        <v>309240.73333333334</v>
      </c>
      <c r="H92" s="20">
        <v>7.8433333333333324E-3</v>
      </c>
      <c r="I92" s="19">
        <v>122145.43333333333</v>
      </c>
      <c r="J92" s="71">
        <v>11.024763333333331</v>
      </c>
      <c r="K92" s="19">
        <v>86967.1</v>
      </c>
      <c r="L92" s="53">
        <v>280000</v>
      </c>
      <c r="M92" s="54">
        <v>2.2166666666666667E-3</v>
      </c>
    </row>
    <row r="93" spans="1:13" s="2" customFormat="1" ht="16.5" x14ac:dyDescent="0.4">
      <c r="A93" s="22" t="s">
        <v>220</v>
      </c>
      <c r="B93" s="52" t="s">
        <v>223</v>
      </c>
      <c r="C93" s="19">
        <v>3708152.4516129033</v>
      </c>
      <c r="D93" s="19">
        <v>238804.83870967742</v>
      </c>
      <c r="E93" s="20">
        <v>6.4399951681006679E-2</v>
      </c>
      <c r="F93" s="19">
        <v>43946439.935483873</v>
      </c>
      <c r="G93" s="19">
        <v>376111.19354838709</v>
      </c>
      <c r="H93" s="20">
        <v>8.5583995905138596E-3</v>
      </c>
      <c r="I93" s="19">
        <v>138782.29032258064</v>
      </c>
      <c r="J93" s="71">
        <v>11.976683870967742</v>
      </c>
      <c r="K93" s="19">
        <v>100640.80645161291</v>
      </c>
      <c r="L93" s="53">
        <v>280000</v>
      </c>
      <c r="M93" s="20">
        <v>2.290078709432662E-3</v>
      </c>
    </row>
    <row r="94" spans="1:13" s="2" customFormat="1" ht="16.5" x14ac:dyDescent="0.4">
      <c r="A94" s="22" t="s">
        <v>221</v>
      </c>
      <c r="B94" s="42" t="s">
        <v>223</v>
      </c>
      <c r="C94" s="19">
        <v>4008204.0967741935</v>
      </c>
      <c r="D94" s="19">
        <v>251029.80645161291</v>
      </c>
      <c r="E94" s="20">
        <v>6.2628998022740898E-2</v>
      </c>
      <c r="F94" s="19">
        <v>43128038.096774191</v>
      </c>
      <c r="G94" s="19">
        <v>395002.06451612903</v>
      </c>
      <c r="H94" s="20">
        <v>9.158822936248371E-3</v>
      </c>
      <c r="I94" s="19">
        <v>145944.38709677418</v>
      </c>
      <c r="J94" s="21">
        <v>10.788077419354837</v>
      </c>
      <c r="K94" s="19">
        <v>100707.02601456817</v>
      </c>
      <c r="L94" s="19">
        <v>280000</v>
      </c>
      <c r="M94" s="20">
        <v>2.3350708833217403E-3</v>
      </c>
    </row>
    <row r="95" spans="1:13" s="2" customFormat="1" ht="16.5" x14ac:dyDescent="0.4">
      <c r="A95" s="25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1:13" s="2" customFormat="1" ht="16.5" x14ac:dyDescent="0.4">
      <c r="A96" s="25"/>
      <c r="B96" s="25"/>
      <c r="C96" s="25"/>
      <c r="D96" s="25"/>
      <c r="E96" s="29"/>
      <c r="F96" s="25"/>
      <c r="G96" s="25"/>
      <c r="H96" s="29"/>
      <c r="I96" s="29"/>
      <c r="J96" s="32"/>
      <c r="K96" s="25"/>
      <c r="L96" s="24"/>
    </row>
    <row r="97" spans="1:13" s="2" customFormat="1" ht="15" x14ac:dyDescent="0.25">
      <c r="A97" s="18" t="s">
        <v>3</v>
      </c>
      <c r="B97" s="18" t="s">
        <v>4</v>
      </c>
      <c r="C97" s="18" t="s">
        <v>5</v>
      </c>
      <c r="D97" s="18" t="s">
        <v>6</v>
      </c>
      <c r="E97" s="18" t="s">
        <v>7</v>
      </c>
      <c r="F97" s="18" t="s">
        <v>8</v>
      </c>
      <c r="G97" s="18" t="s">
        <v>9</v>
      </c>
      <c r="H97" s="18" t="s">
        <v>10</v>
      </c>
      <c r="I97" s="18" t="s">
        <v>14</v>
      </c>
      <c r="J97" s="18" t="s">
        <v>11</v>
      </c>
      <c r="K97" s="18" t="s">
        <v>12</v>
      </c>
      <c r="L97" s="18" t="s">
        <v>99</v>
      </c>
      <c r="M97" s="18" t="s">
        <v>226</v>
      </c>
    </row>
    <row r="98" spans="1:13" customFormat="1" ht="16.5" x14ac:dyDescent="0.4">
      <c r="A98" s="72">
        <v>20240716</v>
      </c>
      <c r="B98" s="82" t="s">
        <v>17</v>
      </c>
      <c r="C98" s="83">
        <v>6277631</v>
      </c>
      <c r="D98" s="83">
        <v>101162</v>
      </c>
      <c r="E98" s="86">
        <v>1.61E-2</v>
      </c>
      <c r="F98" s="85">
        <v>21953046</v>
      </c>
      <c r="G98" s="85">
        <v>124401</v>
      </c>
      <c r="H98" s="87">
        <v>5.7000000000000002E-3</v>
      </c>
      <c r="I98" s="85">
        <v>57212</v>
      </c>
      <c r="J98" s="88">
        <v>3.4969999999999999</v>
      </c>
      <c r="K98" s="85">
        <v>44290</v>
      </c>
      <c r="L98" s="85">
        <v>330000</v>
      </c>
      <c r="M98" s="86">
        <v>2E-3</v>
      </c>
    </row>
    <row r="99" spans="1:13" customFormat="1" ht="16.5" x14ac:dyDescent="0.4">
      <c r="A99" s="72">
        <v>20240716</v>
      </c>
      <c r="B99" s="82" t="s">
        <v>17</v>
      </c>
      <c r="C99" s="83">
        <v>6277631</v>
      </c>
      <c r="D99" s="83">
        <v>101162</v>
      </c>
      <c r="E99" s="86">
        <v>1.61E-2</v>
      </c>
      <c r="F99" s="85">
        <v>21953046</v>
      </c>
      <c r="G99" s="85">
        <v>124401</v>
      </c>
      <c r="H99" s="87">
        <v>5.7000000000000002E-3</v>
      </c>
      <c r="I99" s="85">
        <v>57212</v>
      </c>
      <c r="J99" s="88">
        <v>3.4969999999999999</v>
      </c>
      <c r="K99" s="85">
        <v>44290</v>
      </c>
      <c r="L99" s="85">
        <v>330000</v>
      </c>
      <c r="M99" s="86">
        <v>2E-3</v>
      </c>
    </row>
    <row r="100" spans="1:13" customFormat="1" ht="16.5" x14ac:dyDescent="0.4">
      <c r="A100" s="72">
        <v>20240715</v>
      </c>
      <c r="B100" s="82" t="s">
        <v>17</v>
      </c>
      <c r="C100" s="83">
        <v>6049922</v>
      </c>
      <c r="D100" s="83">
        <v>92287</v>
      </c>
      <c r="E100" s="86">
        <v>1.5299999999999999E-2</v>
      </c>
      <c r="F100" s="85">
        <v>18731468</v>
      </c>
      <c r="G100" s="85">
        <v>109142</v>
      </c>
      <c r="H100" s="87">
        <v>5.7999999999999996E-3</v>
      </c>
      <c r="I100" s="85">
        <v>52571</v>
      </c>
      <c r="J100" s="88">
        <v>3.0962000000000001</v>
      </c>
      <c r="K100" s="85">
        <v>39743</v>
      </c>
      <c r="L100" s="85">
        <v>330000</v>
      </c>
      <c r="M100" s="86">
        <v>2.0999999999999999E-3</v>
      </c>
    </row>
    <row r="101" spans="1:13" customFormat="1" ht="16.5" x14ac:dyDescent="0.4">
      <c r="A101" s="72">
        <v>20240714</v>
      </c>
      <c r="B101" s="82" t="s">
        <v>17</v>
      </c>
      <c r="C101" s="83">
        <v>4717750</v>
      </c>
      <c r="D101" s="83">
        <v>95004</v>
      </c>
      <c r="E101" s="86">
        <v>2.01E-2</v>
      </c>
      <c r="F101" s="85">
        <v>17991546</v>
      </c>
      <c r="G101" s="85">
        <v>111933</v>
      </c>
      <c r="H101" s="87">
        <v>6.1999999999999998E-3</v>
      </c>
      <c r="I101" s="85">
        <v>53638</v>
      </c>
      <c r="J101" s="88">
        <v>3.8136000000000001</v>
      </c>
      <c r="K101" s="85">
        <v>40067</v>
      </c>
      <c r="L101" s="85">
        <v>330000</v>
      </c>
      <c r="M101" s="86">
        <v>2.2000000000000001E-3</v>
      </c>
    </row>
    <row r="102" spans="1:13" customFormat="1" ht="16.5" x14ac:dyDescent="0.4">
      <c r="A102" s="72">
        <v>20240713</v>
      </c>
      <c r="B102" s="82" t="s">
        <v>17</v>
      </c>
      <c r="C102" s="83">
        <v>7711216</v>
      </c>
      <c r="D102" s="83">
        <v>113737</v>
      </c>
      <c r="E102" s="86">
        <v>1.47E-2</v>
      </c>
      <c r="F102" s="85">
        <v>26679647</v>
      </c>
      <c r="G102" s="85">
        <v>141022</v>
      </c>
      <c r="H102" s="87">
        <v>5.3E-3</v>
      </c>
      <c r="I102" s="85">
        <v>71873</v>
      </c>
      <c r="J102" s="88">
        <v>3.4598</v>
      </c>
      <c r="K102" s="85">
        <v>52901</v>
      </c>
      <c r="L102" s="85">
        <v>330000</v>
      </c>
      <c r="M102" s="86">
        <v>2E-3</v>
      </c>
    </row>
    <row r="103" spans="1:13" customFormat="1" ht="16.5" x14ac:dyDescent="0.4">
      <c r="A103" s="72">
        <v>20240712</v>
      </c>
      <c r="B103" s="82" t="s">
        <v>17</v>
      </c>
      <c r="C103" s="83">
        <v>8412537</v>
      </c>
      <c r="D103" s="83">
        <v>134512</v>
      </c>
      <c r="E103" s="86">
        <v>1.6E-2</v>
      </c>
      <c r="F103" s="85">
        <v>29739503</v>
      </c>
      <c r="G103" s="85">
        <v>168092</v>
      </c>
      <c r="H103" s="87">
        <v>5.7000000000000002E-3</v>
      </c>
      <c r="I103" s="85">
        <v>86250</v>
      </c>
      <c r="J103" s="88">
        <v>3.5350999999999999</v>
      </c>
      <c r="K103" s="85">
        <v>64824</v>
      </c>
      <c r="L103" s="85">
        <v>330000</v>
      </c>
      <c r="M103" s="86">
        <v>2.2000000000000001E-3</v>
      </c>
    </row>
    <row r="104" spans="1:13" customFormat="1" ht="16.5" x14ac:dyDescent="0.4">
      <c r="A104" s="72">
        <v>20240711</v>
      </c>
      <c r="B104" s="82" t="s">
        <v>17</v>
      </c>
      <c r="C104" s="83">
        <v>7340457</v>
      </c>
      <c r="D104" s="83">
        <v>124130</v>
      </c>
      <c r="E104" s="86">
        <v>1.6899999999999998E-2</v>
      </c>
      <c r="F104" s="85">
        <v>27309461</v>
      </c>
      <c r="G104" s="85">
        <v>154683</v>
      </c>
      <c r="H104" s="87">
        <v>5.7000000000000002E-3</v>
      </c>
      <c r="I104" s="85">
        <v>78129</v>
      </c>
      <c r="J104" s="88">
        <v>3.7204000000000002</v>
      </c>
      <c r="K104" s="85">
        <v>56308</v>
      </c>
      <c r="L104" s="85">
        <v>330000</v>
      </c>
      <c r="M104" s="86">
        <v>2.0999999999999999E-3</v>
      </c>
    </row>
    <row r="105" spans="1:13" customFormat="1" ht="16.5" x14ac:dyDescent="0.4">
      <c r="A105" s="72">
        <v>20240710</v>
      </c>
      <c r="B105" s="82" t="s">
        <v>17</v>
      </c>
      <c r="C105" s="83">
        <v>8087885</v>
      </c>
      <c r="D105" s="83">
        <v>123664</v>
      </c>
      <c r="E105" s="86">
        <v>1.5299999999999999E-2</v>
      </c>
      <c r="F105" s="85">
        <v>27246869</v>
      </c>
      <c r="G105" s="85">
        <v>153069</v>
      </c>
      <c r="H105" s="87">
        <v>5.5999999999999999E-3</v>
      </c>
      <c r="I105" s="85">
        <v>78779</v>
      </c>
      <c r="J105" s="88">
        <v>3.3687999999999998</v>
      </c>
      <c r="K105" s="85">
        <v>58248</v>
      </c>
      <c r="L105" s="85">
        <v>330000</v>
      </c>
      <c r="M105" s="86">
        <v>2.0999999999999999E-3</v>
      </c>
    </row>
    <row r="106" spans="1:13" customFormat="1" ht="16.5" x14ac:dyDescent="0.4">
      <c r="A106" s="72">
        <v>20240709</v>
      </c>
      <c r="B106" s="82" t="s">
        <v>17</v>
      </c>
      <c r="C106" s="83">
        <v>7777334</v>
      </c>
      <c r="D106" s="83">
        <v>109601</v>
      </c>
      <c r="E106" s="86">
        <v>1.41E-2</v>
      </c>
      <c r="F106" s="85">
        <v>26521465</v>
      </c>
      <c r="G106" s="85">
        <v>134625</v>
      </c>
      <c r="H106" s="87">
        <v>5.1000000000000004E-3</v>
      </c>
      <c r="I106" s="85">
        <v>63147</v>
      </c>
      <c r="J106" s="88">
        <v>3.4100999999999999</v>
      </c>
      <c r="K106" s="85">
        <v>52067</v>
      </c>
      <c r="L106" s="85">
        <v>330000</v>
      </c>
      <c r="M106" s="86">
        <v>2E-3</v>
      </c>
    </row>
    <row r="107" spans="1:13" customFormat="1" ht="16.5" x14ac:dyDescent="0.4">
      <c r="A107" s="72">
        <v>20240708</v>
      </c>
      <c r="B107" s="82" t="s">
        <v>17</v>
      </c>
      <c r="C107" s="83">
        <v>8554114</v>
      </c>
      <c r="D107" s="83">
        <v>121979</v>
      </c>
      <c r="E107" s="86">
        <v>1.43E-2</v>
      </c>
      <c r="F107" s="85">
        <v>28739447</v>
      </c>
      <c r="G107" s="85">
        <v>147172</v>
      </c>
      <c r="H107" s="87">
        <v>5.1000000000000004E-3</v>
      </c>
      <c r="I107" s="85">
        <v>77847</v>
      </c>
      <c r="J107" s="88">
        <v>3.3597000000000001</v>
      </c>
      <c r="K107" s="85">
        <v>58936</v>
      </c>
      <c r="L107" s="85">
        <v>330000</v>
      </c>
      <c r="M107" s="86">
        <v>2.0999999999999999E-3</v>
      </c>
    </row>
    <row r="108" spans="1:13" customFormat="1" ht="16.5" x14ac:dyDescent="0.4">
      <c r="A108" s="72">
        <v>20240707</v>
      </c>
      <c r="B108" s="82" t="s">
        <v>17</v>
      </c>
      <c r="C108" s="83">
        <v>8544158</v>
      </c>
      <c r="D108" s="83">
        <v>118878</v>
      </c>
      <c r="E108" s="86">
        <v>1.3899999999999999E-2</v>
      </c>
      <c r="F108" s="85">
        <v>28984427</v>
      </c>
      <c r="G108" s="85">
        <v>145040</v>
      </c>
      <c r="H108" s="87">
        <v>5.0000000000000001E-3</v>
      </c>
      <c r="I108" s="85">
        <v>78161</v>
      </c>
      <c r="J108" s="88">
        <v>3.3923000000000001</v>
      </c>
      <c r="K108" s="85">
        <v>55680</v>
      </c>
      <c r="L108" s="85">
        <v>330000</v>
      </c>
      <c r="M108" s="86">
        <v>1.9E-3</v>
      </c>
    </row>
    <row r="109" spans="1:13" customFormat="1" ht="16.5" x14ac:dyDescent="0.4">
      <c r="A109" s="72">
        <v>20240706</v>
      </c>
      <c r="B109" s="82" t="s">
        <v>17</v>
      </c>
      <c r="C109" s="83">
        <v>4619446</v>
      </c>
      <c r="D109" s="83">
        <v>106511</v>
      </c>
      <c r="E109" s="86">
        <v>2.3099999999999999E-2</v>
      </c>
      <c r="F109" s="85">
        <v>17890772</v>
      </c>
      <c r="G109" s="85">
        <v>128243</v>
      </c>
      <c r="H109" s="87">
        <v>7.1999999999999998E-3</v>
      </c>
      <c r="I109" s="85">
        <v>65113</v>
      </c>
      <c r="J109" s="88">
        <v>3.8729</v>
      </c>
      <c r="K109" s="85">
        <v>46309</v>
      </c>
      <c r="L109" s="85">
        <v>330000</v>
      </c>
      <c r="M109" s="86">
        <v>2.5999999999999999E-3</v>
      </c>
    </row>
    <row r="110" spans="1:13" customFormat="1" ht="16.5" x14ac:dyDescent="0.4">
      <c r="A110" s="72">
        <v>20240705</v>
      </c>
      <c r="B110" s="82" t="s">
        <v>17</v>
      </c>
      <c r="C110" s="83">
        <v>7676464</v>
      </c>
      <c r="D110" s="83">
        <v>122582</v>
      </c>
      <c r="E110" s="86">
        <v>1.6E-2</v>
      </c>
      <c r="F110" s="85">
        <v>28484443</v>
      </c>
      <c r="G110" s="85">
        <v>148515</v>
      </c>
      <c r="H110" s="87">
        <v>5.1999999999999998E-3</v>
      </c>
      <c r="I110" s="85">
        <v>79623</v>
      </c>
      <c r="J110" s="88">
        <v>3.7105999999999999</v>
      </c>
      <c r="K110" s="85">
        <v>58252</v>
      </c>
      <c r="L110" s="85">
        <v>330000</v>
      </c>
      <c r="M110" s="86">
        <v>2E-3</v>
      </c>
    </row>
    <row r="111" spans="1:13" customFormat="1" ht="16.5" x14ac:dyDescent="0.4">
      <c r="A111" s="72">
        <v>20240704</v>
      </c>
      <c r="B111" s="82" t="s">
        <v>17</v>
      </c>
      <c r="C111" s="83">
        <v>8105350</v>
      </c>
      <c r="D111" s="83">
        <v>124821</v>
      </c>
      <c r="E111" s="86">
        <v>1.54E-2</v>
      </c>
      <c r="F111" s="85">
        <v>28176417</v>
      </c>
      <c r="G111" s="85">
        <v>151862</v>
      </c>
      <c r="H111" s="87">
        <v>5.4000000000000003E-3</v>
      </c>
      <c r="I111" s="85">
        <v>82942</v>
      </c>
      <c r="J111" s="88">
        <v>3.4763000000000002</v>
      </c>
      <c r="K111" s="85">
        <v>63024</v>
      </c>
      <c r="L111" s="85">
        <v>330000</v>
      </c>
      <c r="M111" s="86">
        <v>2.2000000000000001E-3</v>
      </c>
    </row>
    <row r="112" spans="1:13" customFormat="1" ht="16.5" x14ac:dyDescent="0.4">
      <c r="A112" s="72">
        <v>20240703</v>
      </c>
      <c r="B112" s="82" t="s">
        <v>17</v>
      </c>
      <c r="C112" s="83">
        <v>5329886</v>
      </c>
      <c r="D112" s="83">
        <v>144303</v>
      </c>
      <c r="E112" s="86">
        <v>2.7099999999999999E-2</v>
      </c>
      <c r="F112" s="85">
        <v>27474648</v>
      </c>
      <c r="G112" s="85">
        <v>181541</v>
      </c>
      <c r="H112" s="87">
        <v>6.6E-3</v>
      </c>
      <c r="I112" s="85">
        <v>94695</v>
      </c>
      <c r="J112" s="88">
        <v>5.1547999999999998</v>
      </c>
      <c r="K112" s="85">
        <v>68500</v>
      </c>
      <c r="L112" s="85">
        <v>330000</v>
      </c>
      <c r="M112" s="86">
        <v>2.5000000000000001E-3</v>
      </c>
    </row>
    <row r="113" spans="1:13" customFormat="1" ht="16.5" x14ac:dyDescent="0.4">
      <c r="A113" s="72">
        <v>20240702</v>
      </c>
      <c r="B113" s="82" t="s">
        <v>17</v>
      </c>
      <c r="C113" s="83">
        <v>7835359</v>
      </c>
      <c r="D113" s="83">
        <v>121151</v>
      </c>
      <c r="E113" s="86">
        <v>1.55E-2</v>
      </c>
      <c r="F113" s="85">
        <v>29946607</v>
      </c>
      <c r="G113" s="85">
        <v>149922</v>
      </c>
      <c r="H113" s="87">
        <v>5.0000000000000001E-3</v>
      </c>
      <c r="I113" s="85">
        <v>76231</v>
      </c>
      <c r="J113" s="88">
        <v>3.8220000000000001</v>
      </c>
      <c r="K113" s="85">
        <v>57605</v>
      </c>
      <c r="L113" s="85">
        <v>330000</v>
      </c>
      <c r="M113" s="86">
        <v>1.9E-3</v>
      </c>
    </row>
    <row r="114" spans="1:13" customFormat="1" ht="16.5" x14ac:dyDescent="0.4">
      <c r="A114" s="72">
        <v>20240701</v>
      </c>
      <c r="B114" s="82" t="s">
        <v>17</v>
      </c>
      <c r="C114" s="83">
        <v>7363990</v>
      </c>
      <c r="D114" s="83">
        <v>131437</v>
      </c>
      <c r="E114" s="86">
        <v>1.78E-2</v>
      </c>
      <c r="F114" s="85">
        <v>29291190</v>
      </c>
      <c r="G114" s="85">
        <v>162817</v>
      </c>
      <c r="H114" s="87">
        <v>5.5999999999999999E-3</v>
      </c>
      <c r="I114" s="85">
        <v>79788</v>
      </c>
      <c r="J114" s="88">
        <v>3.9775999999999998</v>
      </c>
      <c r="K114" s="85">
        <v>58277</v>
      </c>
      <c r="L114" s="85">
        <v>330000</v>
      </c>
      <c r="M114" s="86">
        <v>2E-3</v>
      </c>
    </row>
    <row r="115" spans="1:13" customFormat="1" ht="16.5" x14ac:dyDescent="0.4">
      <c r="A115" s="22" t="s">
        <v>975</v>
      </c>
      <c r="B115" s="52" t="s">
        <v>17</v>
      </c>
      <c r="C115" s="83">
        <v>7048478.0999999996</v>
      </c>
      <c r="D115" s="83">
        <v>109682.43333333333</v>
      </c>
      <c r="E115" s="86">
        <v>1.6043333333333333E-2</v>
      </c>
      <c r="F115" s="85">
        <v>25682108.333333332</v>
      </c>
      <c r="G115" s="85">
        <v>131984.53333333333</v>
      </c>
      <c r="H115" s="87">
        <v>5.2200000000000007E-3</v>
      </c>
      <c r="I115" s="85">
        <v>73044.233333333337</v>
      </c>
      <c r="J115" s="88">
        <v>3.67082</v>
      </c>
      <c r="K115" s="85">
        <v>53428.433333333334</v>
      </c>
      <c r="L115" s="85">
        <v>330000</v>
      </c>
      <c r="M115" s="86">
        <v>2.1199999999999999E-3</v>
      </c>
    </row>
    <row r="116" spans="1:13" customFormat="1" ht="16.5" x14ac:dyDescent="0.4">
      <c r="A116" s="22" t="s">
        <v>894</v>
      </c>
      <c r="B116" s="52" t="s">
        <v>17</v>
      </c>
      <c r="C116" s="83">
        <v>7103049.0967741935</v>
      </c>
      <c r="D116" s="83">
        <v>110631.80645161291</v>
      </c>
      <c r="E116" s="86">
        <v>1.6280645161290328E-2</v>
      </c>
      <c r="F116" s="85">
        <v>25524149.225806452</v>
      </c>
      <c r="G116" s="85">
        <v>134876.45161290321</v>
      </c>
      <c r="H116" s="87">
        <v>5.3451612903225804E-3</v>
      </c>
      <c r="I116" s="85">
        <v>74136.258064516136</v>
      </c>
      <c r="J116" s="88">
        <v>3.6615161290322584</v>
      </c>
      <c r="K116" s="85">
        <v>55093.870967741932</v>
      </c>
      <c r="L116" s="85">
        <v>330000</v>
      </c>
      <c r="M116" s="86">
        <v>2.1774193548387091E-3</v>
      </c>
    </row>
    <row r="117" spans="1:13" customFormat="1" ht="16.5" x14ac:dyDescent="0.4">
      <c r="A117" s="22" t="s">
        <v>757</v>
      </c>
      <c r="B117" s="52" t="s">
        <v>17</v>
      </c>
      <c r="C117" s="83">
        <v>8479848.4666666668</v>
      </c>
      <c r="D117" s="83">
        <v>123871.53333333334</v>
      </c>
      <c r="E117" s="86">
        <v>1.4763333333333335E-2</v>
      </c>
      <c r="F117" s="85">
        <v>30417679.166666668</v>
      </c>
      <c r="G117" s="85">
        <v>153460.83333333334</v>
      </c>
      <c r="H117" s="87">
        <v>5.0799999999999994E-3</v>
      </c>
      <c r="I117" s="85">
        <v>85038.066666666666</v>
      </c>
      <c r="J117" s="88">
        <v>3.5925066666666661</v>
      </c>
      <c r="K117" s="85">
        <v>62858.333333333336</v>
      </c>
      <c r="L117" s="85">
        <v>330000</v>
      </c>
      <c r="M117" s="86">
        <v>2.0766666666666663E-3</v>
      </c>
    </row>
    <row r="118" spans="1:13" customFormat="1" ht="16.5" x14ac:dyDescent="0.4">
      <c r="A118" s="22" t="s">
        <v>662</v>
      </c>
      <c r="B118" s="52" t="s">
        <v>17</v>
      </c>
      <c r="C118" s="19">
        <v>8536917</v>
      </c>
      <c r="D118" s="19">
        <v>112917.19354838709</v>
      </c>
      <c r="E118" s="35">
        <v>1.3296774193548386E-2</v>
      </c>
      <c r="F118" s="19">
        <v>28371870.967741936</v>
      </c>
      <c r="G118" s="19">
        <v>137816.80645161291</v>
      </c>
      <c r="H118" s="35">
        <v>4.9032258064516127E-3</v>
      </c>
      <c r="I118" s="19">
        <v>77376.741935483864</v>
      </c>
      <c r="J118" s="21">
        <v>3.3177129032258059</v>
      </c>
      <c r="K118" s="19">
        <v>56951.548387096773</v>
      </c>
      <c r="L118" s="19">
        <v>330000</v>
      </c>
      <c r="M118" s="35">
        <v>2.0161290322580649E-3</v>
      </c>
    </row>
    <row r="119" spans="1:13" s="2" customFormat="1" ht="16.5" x14ac:dyDescent="0.4">
      <c r="A119" s="22" t="s">
        <v>530</v>
      </c>
      <c r="B119" s="52" t="s">
        <v>535</v>
      </c>
      <c r="C119" s="19">
        <v>8556885.3793103453</v>
      </c>
      <c r="D119" s="19">
        <v>115012.20689655172</v>
      </c>
      <c r="E119" s="35">
        <v>1.3468965517241379E-2</v>
      </c>
      <c r="F119" s="19">
        <v>28903309.931034483</v>
      </c>
      <c r="G119" s="19">
        <v>141464.27586206896</v>
      </c>
      <c r="H119" s="35">
        <v>4.8999999999999998E-3</v>
      </c>
      <c r="I119" s="19">
        <v>78458.68965517242</v>
      </c>
      <c r="J119" s="21">
        <v>3.3715034482758615</v>
      </c>
      <c r="K119" s="19">
        <v>57358.413793103449</v>
      </c>
      <c r="L119" s="19">
        <v>330000</v>
      </c>
      <c r="M119" s="35">
        <v>1.9896551724137932E-3</v>
      </c>
    </row>
    <row r="120" spans="1:13" s="2" customFormat="1" ht="16.5" x14ac:dyDescent="0.4">
      <c r="A120" s="22" t="s">
        <v>464</v>
      </c>
      <c r="B120" s="52" t="s">
        <v>227</v>
      </c>
      <c r="C120" s="19">
        <v>8218851.1290322579</v>
      </c>
      <c r="D120" s="19">
        <v>153583</v>
      </c>
      <c r="E120" s="35">
        <v>1.9248387096774188E-2</v>
      </c>
      <c r="F120" s="19">
        <v>42546054.903225809</v>
      </c>
      <c r="G120" s="19">
        <v>191291.48387096773</v>
      </c>
      <c r="H120" s="35">
        <v>4.5161290322580641E-3</v>
      </c>
      <c r="I120" s="19">
        <v>99039.774193548394</v>
      </c>
      <c r="J120" s="21">
        <v>5.3114870967741927</v>
      </c>
      <c r="K120" s="19">
        <v>78340.548387096773</v>
      </c>
      <c r="L120" s="19">
        <v>330000</v>
      </c>
      <c r="M120" s="35">
        <v>1.8419354838709681E-3</v>
      </c>
    </row>
    <row r="121" spans="1:13" s="2" customFormat="1" ht="16.5" x14ac:dyDescent="0.4">
      <c r="A121" s="22" t="s">
        <v>215</v>
      </c>
      <c r="B121" s="52" t="s">
        <v>227</v>
      </c>
      <c r="C121" s="19">
        <v>8617081.5806451607</v>
      </c>
      <c r="D121" s="19">
        <v>153433.93548387097</v>
      </c>
      <c r="E121" s="35">
        <v>1.7977419354838712E-2</v>
      </c>
      <c r="F121" s="19">
        <v>41164355.741935484</v>
      </c>
      <c r="G121" s="19">
        <v>188291.35483870967</v>
      </c>
      <c r="H121" s="35">
        <v>4.5935483870967742E-3</v>
      </c>
      <c r="I121" s="19">
        <v>97168.741935483864</v>
      </c>
      <c r="J121" s="21">
        <v>4.7973096774193547</v>
      </c>
      <c r="K121" s="19">
        <v>77133.838709677424</v>
      </c>
      <c r="L121" s="19">
        <v>330000</v>
      </c>
      <c r="M121" s="35">
        <v>1.8806451612903231E-3</v>
      </c>
    </row>
    <row r="122" spans="1:13" s="2" customFormat="1" ht="16.5" x14ac:dyDescent="0.4">
      <c r="A122" s="22" t="s">
        <v>216</v>
      </c>
      <c r="B122" s="52" t="s">
        <v>227</v>
      </c>
      <c r="C122" s="19">
        <v>9120303.3000000007</v>
      </c>
      <c r="D122" s="19">
        <v>166252.13333333333</v>
      </c>
      <c r="E122" s="35">
        <v>1.8273333333333329E-2</v>
      </c>
      <c r="F122" s="19">
        <v>43051500.733333334</v>
      </c>
      <c r="G122" s="19">
        <v>203332.06666666668</v>
      </c>
      <c r="H122" s="35">
        <v>4.7233333333333329E-3</v>
      </c>
      <c r="I122" s="19">
        <v>106874.4</v>
      </c>
      <c r="J122" s="21">
        <v>4.7298333333333344</v>
      </c>
      <c r="K122" s="19">
        <v>85724.766666666663</v>
      </c>
      <c r="L122" s="19">
        <v>330000</v>
      </c>
      <c r="M122" s="35">
        <v>1.9966666666666661E-3</v>
      </c>
    </row>
    <row r="123" spans="1:13" s="2" customFormat="1" ht="16.5" x14ac:dyDescent="0.4">
      <c r="A123" s="22" t="s">
        <v>217</v>
      </c>
      <c r="B123" s="52" t="s">
        <v>227</v>
      </c>
      <c r="C123" s="19">
        <v>9151067.064516129</v>
      </c>
      <c r="D123" s="19">
        <v>186935.19354838709</v>
      </c>
      <c r="E123" s="20">
        <v>2.0564516129032265E-2</v>
      </c>
      <c r="F123" s="19">
        <v>46101694.258064516</v>
      </c>
      <c r="G123" s="19">
        <v>233586.12903225806</v>
      </c>
      <c r="H123" s="20">
        <v>5.0838709677419342E-3</v>
      </c>
      <c r="I123" s="19">
        <v>113123.16129032258</v>
      </c>
      <c r="J123" s="71">
        <v>5.0530548387096772</v>
      </c>
      <c r="K123" s="19">
        <v>93094.419354838712</v>
      </c>
      <c r="L123" s="53">
        <v>330000</v>
      </c>
      <c r="M123" s="54">
        <v>2.0096774193548387E-3</v>
      </c>
    </row>
    <row r="124" spans="1:13" s="2" customFormat="1" ht="16.5" x14ac:dyDescent="0.4">
      <c r="A124" s="22" t="s">
        <v>219</v>
      </c>
      <c r="B124" s="52" t="s">
        <v>228</v>
      </c>
      <c r="C124" s="19">
        <v>9977097.2666666675</v>
      </c>
      <c r="D124" s="19">
        <v>216525.53333333333</v>
      </c>
      <c r="E124" s="20">
        <v>2.1746666666666668E-2</v>
      </c>
      <c r="F124" s="19">
        <v>51047802.100000001</v>
      </c>
      <c r="G124" s="19">
        <v>275260.66666666669</v>
      </c>
      <c r="H124" s="20">
        <v>5.3966666666666651E-3</v>
      </c>
      <c r="I124" s="19">
        <v>141031.13333333333</v>
      </c>
      <c r="J124" s="71">
        <v>5.1254500000000007</v>
      </c>
      <c r="K124" s="19">
        <v>113913</v>
      </c>
      <c r="L124" s="53">
        <v>330000</v>
      </c>
      <c r="M124" s="54">
        <v>2.2333333333333328E-3</v>
      </c>
    </row>
    <row r="125" spans="1:13" s="2" customFormat="1" ht="16.5" x14ac:dyDescent="0.4">
      <c r="A125" s="22" t="s">
        <v>220</v>
      </c>
      <c r="B125" s="52" t="s">
        <v>227</v>
      </c>
      <c r="C125" s="19">
        <v>9793218.0322580654</v>
      </c>
      <c r="D125" s="19">
        <v>232957.03225806452</v>
      </c>
      <c r="E125" s="20">
        <v>2.3787587643890187E-2</v>
      </c>
      <c r="F125" s="19">
        <v>51175918.290322579</v>
      </c>
      <c r="G125" s="19">
        <v>293124</v>
      </c>
      <c r="H125" s="20">
        <v>5.7277721591061327E-3</v>
      </c>
      <c r="I125" s="19">
        <v>144434.29032258064</v>
      </c>
      <c r="J125" s="71">
        <v>5.2393387096774191</v>
      </c>
      <c r="K125" s="19">
        <v>116712.48387096774</v>
      </c>
      <c r="L125" s="53">
        <v>330000</v>
      </c>
      <c r="M125" s="20">
        <v>2.2806133777386111E-3</v>
      </c>
    </row>
    <row r="126" spans="1:13" s="2" customFormat="1" ht="16.5" x14ac:dyDescent="0.4">
      <c r="A126" s="22" t="s">
        <v>221</v>
      </c>
      <c r="B126" s="42" t="s">
        <v>227</v>
      </c>
      <c r="C126" s="19">
        <v>10258111.870967742</v>
      </c>
      <c r="D126" s="19">
        <v>242460.51612903227</v>
      </c>
      <c r="E126" s="20">
        <f>D126/C126</f>
        <v>2.3635978938311066E-2</v>
      </c>
      <c r="F126" s="19">
        <v>51463503.322580643</v>
      </c>
      <c r="G126" s="19">
        <v>308128.12903225806</v>
      </c>
      <c r="H126" s="20">
        <f>G126/F126</f>
        <v>5.9873135161605034E-3</v>
      </c>
      <c r="I126" s="19">
        <v>149210.19354838709</v>
      </c>
      <c r="J126" s="21">
        <v>5.0201064516129019</v>
      </c>
      <c r="K126" s="19">
        <v>121640.35483870968</v>
      </c>
      <c r="L126" s="19">
        <v>330000</v>
      </c>
      <c r="M126" s="20">
        <f>K126/F126</f>
        <v>2.3636236747477226E-3</v>
      </c>
    </row>
    <row r="127" spans="1:13" ht="17.149999999999999" customHeight="1" x14ac:dyDescent="0.4"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3" s="2" customFormat="1" ht="16.5" x14ac:dyDescent="0.4">
      <c r="A128" s="25"/>
      <c r="B128" s="25"/>
      <c r="C128" s="25"/>
      <c r="D128" s="25"/>
      <c r="E128" s="29"/>
      <c r="F128" s="25"/>
      <c r="G128" s="25"/>
      <c r="H128" s="29"/>
      <c r="I128" s="29"/>
      <c r="J128" s="32"/>
      <c r="K128" s="25"/>
      <c r="L128" s="33"/>
    </row>
    <row r="129" spans="1:13" ht="16.5" customHeight="1" x14ac:dyDescent="0.4">
      <c r="A129" s="18" t="s">
        <v>3</v>
      </c>
      <c r="B129" s="18" t="s">
        <v>4</v>
      </c>
      <c r="C129" s="18" t="s">
        <v>5</v>
      </c>
      <c r="D129" s="18" t="s">
        <v>6</v>
      </c>
      <c r="E129" s="18" t="s">
        <v>7</v>
      </c>
      <c r="F129" s="18" t="s">
        <v>8</v>
      </c>
      <c r="G129" s="18" t="s">
        <v>9</v>
      </c>
      <c r="H129" s="18" t="s">
        <v>10</v>
      </c>
      <c r="I129" s="18" t="s">
        <v>14</v>
      </c>
      <c r="J129" s="27" t="s">
        <v>11</v>
      </c>
      <c r="K129" s="18" t="s">
        <v>12</v>
      </c>
      <c r="L129" s="18" t="s">
        <v>99</v>
      </c>
      <c r="M129" s="18" t="s">
        <v>214</v>
      </c>
    </row>
    <row r="130" spans="1:13" customFormat="1" ht="16.5" x14ac:dyDescent="0.4">
      <c r="A130" s="72">
        <v>20240716</v>
      </c>
      <c r="B130" s="82" t="s">
        <v>18</v>
      </c>
      <c r="C130" s="83">
        <v>6075699</v>
      </c>
      <c r="D130" s="83">
        <v>56481</v>
      </c>
      <c r="E130" s="86">
        <v>9.2999999999999992E-3</v>
      </c>
      <c r="F130" s="85">
        <v>14506520</v>
      </c>
      <c r="G130" s="85">
        <v>65460</v>
      </c>
      <c r="H130" s="87">
        <v>4.4999999999999997E-3</v>
      </c>
      <c r="I130" s="85">
        <v>29390</v>
      </c>
      <c r="J130" s="88">
        <v>2.3875999999999999</v>
      </c>
      <c r="K130" s="85">
        <v>24768</v>
      </c>
      <c r="L130" s="85">
        <v>244000</v>
      </c>
      <c r="M130" s="86">
        <v>1.6999999999999999E-3</v>
      </c>
    </row>
    <row r="131" spans="1:13" customFormat="1" ht="16.5" x14ac:dyDescent="0.4">
      <c r="A131" s="72">
        <v>20240716</v>
      </c>
      <c r="B131" s="82" t="s">
        <v>18</v>
      </c>
      <c r="C131" s="83">
        <v>6075699</v>
      </c>
      <c r="D131" s="83">
        <v>56481</v>
      </c>
      <c r="E131" s="86">
        <v>9.2999999999999992E-3</v>
      </c>
      <c r="F131" s="85">
        <v>14506520</v>
      </c>
      <c r="G131" s="85">
        <v>65460</v>
      </c>
      <c r="H131" s="87">
        <v>4.4999999999999997E-3</v>
      </c>
      <c r="I131" s="85">
        <v>29390</v>
      </c>
      <c r="J131" s="88">
        <v>2.3875999999999999</v>
      </c>
      <c r="K131" s="85">
        <v>24768</v>
      </c>
      <c r="L131" s="85">
        <v>244000</v>
      </c>
      <c r="M131" s="86">
        <v>1.6999999999999999E-3</v>
      </c>
    </row>
    <row r="132" spans="1:13" customFormat="1" ht="16.5" x14ac:dyDescent="0.4">
      <c r="A132" s="72">
        <v>20240715</v>
      </c>
      <c r="B132" s="82" t="s">
        <v>18</v>
      </c>
      <c r="C132" s="83">
        <v>6252701</v>
      </c>
      <c r="D132" s="83">
        <v>55710</v>
      </c>
      <c r="E132" s="86">
        <v>8.8999999999999999E-3</v>
      </c>
      <c r="F132" s="85">
        <v>14829512</v>
      </c>
      <c r="G132" s="85">
        <v>63524</v>
      </c>
      <c r="H132" s="87">
        <v>4.3E-3</v>
      </c>
      <c r="I132" s="85">
        <v>30087</v>
      </c>
      <c r="J132" s="88">
        <v>2.3717000000000001</v>
      </c>
      <c r="K132" s="85">
        <v>24673</v>
      </c>
      <c r="L132" s="85">
        <v>244000</v>
      </c>
      <c r="M132" s="86">
        <v>1.6999999999999999E-3</v>
      </c>
    </row>
    <row r="133" spans="1:13" customFormat="1" ht="16.5" x14ac:dyDescent="0.4">
      <c r="A133" s="72">
        <v>20240714</v>
      </c>
      <c r="B133" s="82" t="s">
        <v>18</v>
      </c>
      <c r="C133" s="83">
        <v>7305818</v>
      </c>
      <c r="D133" s="83">
        <v>63506</v>
      </c>
      <c r="E133" s="86">
        <v>8.6999999999999994E-3</v>
      </c>
      <c r="F133" s="85">
        <v>16337816</v>
      </c>
      <c r="G133" s="85">
        <v>75064</v>
      </c>
      <c r="H133" s="87">
        <v>4.5999999999999999E-3</v>
      </c>
      <c r="I133" s="85">
        <v>27532</v>
      </c>
      <c r="J133" s="88">
        <v>2.2363</v>
      </c>
      <c r="K133" s="85">
        <v>23649</v>
      </c>
      <c r="L133" s="85">
        <v>244000</v>
      </c>
      <c r="M133" s="86">
        <v>1.4E-3</v>
      </c>
    </row>
    <row r="134" spans="1:13" customFormat="1" ht="16.5" x14ac:dyDescent="0.4">
      <c r="A134" s="72">
        <v>20240713</v>
      </c>
      <c r="B134" s="82" t="s">
        <v>18</v>
      </c>
      <c r="C134" s="83">
        <v>6221529</v>
      </c>
      <c r="D134" s="83">
        <v>71366</v>
      </c>
      <c r="E134" s="86">
        <v>1.15E-2</v>
      </c>
      <c r="F134" s="85">
        <v>16673513</v>
      </c>
      <c r="G134" s="85">
        <v>84471</v>
      </c>
      <c r="H134" s="87">
        <v>5.1000000000000004E-3</v>
      </c>
      <c r="I134" s="85">
        <v>38900</v>
      </c>
      <c r="J134" s="88">
        <v>2.68</v>
      </c>
      <c r="K134" s="85">
        <v>32928</v>
      </c>
      <c r="L134" s="85">
        <v>244000</v>
      </c>
      <c r="M134" s="86">
        <v>2E-3</v>
      </c>
    </row>
    <row r="135" spans="1:13" customFormat="1" ht="16.5" x14ac:dyDescent="0.4">
      <c r="A135" s="72">
        <v>20240712</v>
      </c>
      <c r="B135" s="82" t="s">
        <v>18</v>
      </c>
      <c r="C135" s="83">
        <v>5693771</v>
      </c>
      <c r="D135" s="83">
        <v>78688</v>
      </c>
      <c r="E135" s="86">
        <v>1.38E-2</v>
      </c>
      <c r="F135" s="85">
        <v>14865591</v>
      </c>
      <c r="G135" s="85">
        <v>91220</v>
      </c>
      <c r="H135" s="87">
        <v>6.1000000000000004E-3</v>
      </c>
      <c r="I135" s="85">
        <v>45110</v>
      </c>
      <c r="J135" s="88">
        <v>2.6109</v>
      </c>
      <c r="K135" s="85">
        <v>39380</v>
      </c>
      <c r="L135" s="85">
        <v>244000</v>
      </c>
      <c r="M135" s="86">
        <v>2.5999999999999999E-3</v>
      </c>
    </row>
    <row r="136" spans="1:13" customFormat="1" ht="16.5" x14ac:dyDescent="0.4">
      <c r="A136" s="72">
        <v>20240711</v>
      </c>
      <c r="B136" s="82" t="s">
        <v>18</v>
      </c>
      <c r="C136" s="83">
        <v>5795531</v>
      </c>
      <c r="D136" s="83">
        <v>71977</v>
      </c>
      <c r="E136" s="86">
        <v>1.24E-2</v>
      </c>
      <c r="F136" s="85">
        <v>15027818</v>
      </c>
      <c r="G136" s="85">
        <v>83266</v>
      </c>
      <c r="H136" s="87">
        <v>5.4999999999999997E-3</v>
      </c>
      <c r="I136" s="85">
        <v>40353</v>
      </c>
      <c r="J136" s="88">
        <v>2.593</v>
      </c>
      <c r="K136" s="85">
        <v>34213</v>
      </c>
      <c r="L136" s="85">
        <v>244000</v>
      </c>
      <c r="M136" s="86">
        <v>2.3E-3</v>
      </c>
    </row>
    <row r="137" spans="1:13" customFormat="1" ht="16.5" x14ac:dyDescent="0.4">
      <c r="A137" s="72">
        <v>20240710</v>
      </c>
      <c r="B137" s="82" t="s">
        <v>18</v>
      </c>
      <c r="C137" s="83">
        <v>5711188</v>
      </c>
      <c r="D137" s="83">
        <v>68066</v>
      </c>
      <c r="E137" s="86">
        <v>1.1900000000000001E-2</v>
      </c>
      <c r="F137" s="85">
        <v>15276893</v>
      </c>
      <c r="G137" s="85">
        <v>78416</v>
      </c>
      <c r="H137" s="87">
        <v>5.1000000000000004E-3</v>
      </c>
      <c r="I137" s="85">
        <v>38272</v>
      </c>
      <c r="J137" s="88">
        <v>2.6749000000000001</v>
      </c>
      <c r="K137" s="85">
        <v>32102</v>
      </c>
      <c r="L137" s="85">
        <v>244000</v>
      </c>
      <c r="M137" s="86">
        <v>2.0999999999999999E-3</v>
      </c>
    </row>
    <row r="138" spans="1:13" customFormat="1" ht="16.5" x14ac:dyDescent="0.4">
      <c r="A138" s="72">
        <v>20240709</v>
      </c>
      <c r="B138" s="82" t="s">
        <v>18</v>
      </c>
      <c r="C138" s="83">
        <v>6830689</v>
      </c>
      <c r="D138" s="83">
        <v>74518</v>
      </c>
      <c r="E138" s="86">
        <v>1.09E-2</v>
      </c>
      <c r="F138" s="85">
        <v>15744530</v>
      </c>
      <c r="G138" s="85">
        <v>86755</v>
      </c>
      <c r="H138" s="87">
        <v>5.4999999999999997E-3</v>
      </c>
      <c r="I138" s="85">
        <v>40507</v>
      </c>
      <c r="J138" s="88">
        <v>2.3050000000000002</v>
      </c>
      <c r="K138" s="85">
        <v>36308</v>
      </c>
      <c r="L138" s="85">
        <v>244000</v>
      </c>
      <c r="M138" s="86">
        <v>2.3E-3</v>
      </c>
    </row>
    <row r="139" spans="1:13" customFormat="1" ht="16.5" x14ac:dyDescent="0.4">
      <c r="A139" s="72">
        <v>20240708</v>
      </c>
      <c r="B139" s="82" t="s">
        <v>18</v>
      </c>
      <c r="C139" s="83">
        <v>7513203</v>
      </c>
      <c r="D139" s="83">
        <v>63944</v>
      </c>
      <c r="E139" s="86">
        <v>8.5000000000000006E-3</v>
      </c>
      <c r="F139" s="85">
        <v>17765646</v>
      </c>
      <c r="G139" s="85">
        <v>73546</v>
      </c>
      <c r="H139" s="87">
        <v>4.1000000000000003E-3</v>
      </c>
      <c r="I139" s="85">
        <v>35481</v>
      </c>
      <c r="J139" s="88">
        <v>2.3645999999999998</v>
      </c>
      <c r="K139" s="85">
        <v>30153</v>
      </c>
      <c r="L139" s="85">
        <v>244000</v>
      </c>
      <c r="M139" s="86">
        <v>1.6999999999999999E-3</v>
      </c>
    </row>
    <row r="140" spans="1:13" customFormat="1" ht="16.5" x14ac:dyDescent="0.4">
      <c r="A140" s="72">
        <v>20240707</v>
      </c>
      <c r="B140" s="82" t="s">
        <v>18</v>
      </c>
      <c r="C140" s="83">
        <v>7653479</v>
      </c>
      <c r="D140" s="83">
        <v>71422</v>
      </c>
      <c r="E140" s="86">
        <v>9.2999999999999992E-3</v>
      </c>
      <c r="F140" s="85">
        <v>18539782</v>
      </c>
      <c r="G140" s="85">
        <v>83466</v>
      </c>
      <c r="H140" s="87">
        <v>4.4999999999999997E-3</v>
      </c>
      <c r="I140" s="85">
        <v>40367</v>
      </c>
      <c r="J140" s="88">
        <v>2.4224000000000001</v>
      </c>
      <c r="K140" s="85">
        <v>33889</v>
      </c>
      <c r="L140" s="85">
        <v>244000</v>
      </c>
      <c r="M140" s="86">
        <v>1.8E-3</v>
      </c>
    </row>
    <row r="141" spans="1:13" customFormat="1" ht="16.5" x14ac:dyDescent="0.4">
      <c r="A141" s="72">
        <v>20240706</v>
      </c>
      <c r="B141" s="82" t="s">
        <v>18</v>
      </c>
      <c r="C141" s="83">
        <v>8069113</v>
      </c>
      <c r="D141" s="83">
        <v>71820</v>
      </c>
      <c r="E141" s="86">
        <v>8.8999999999999999E-3</v>
      </c>
      <c r="F141" s="85">
        <v>19780286</v>
      </c>
      <c r="G141" s="85">
        <v>84664</v>
      </c>
      <c r="H141" s="87">
        <v>4.3E-3</v>
      </c>
      <c r="I141" s="85">
        <v>38810</v>
      </c>
      <c r="J141" s="88">
        <v>2.4514</v>
      </c>
      <c r="K141" s="85">
        <v>31979</v>
      </c>
      <c r="L141" s="85">
        <v>244000</v>
      </c>
      <c r="M141" s="86">
        <v>1.6000000000000001E-3</v>
      </c>
    </row>
    <row r="142" spans="1:13" customFormat="1" ht="16.5" x14ac:dyDescent="0.4">
      <c r="A142" s="72">
        <v>20240705</v>
      </c>
      <c r="B142" s="82" t="s">
        <v>18</v>
      </c>
      <c r="C142" s="83">
        <v>7444849</v>
      </c>
      <c r="D142" s="83">
        <v>66485</v>
      </c>
      <c r="E142" s="86">
        <v>8.8999999999999999E-3</v>
      </c>
      <c r="F142" s="85">
        <v>16249114</v>
      </c>
      <c r="G142" s="85">
        <v>77191</v>
      </c>
      <c r="H142" s="87">
        <v>4.7999999999999996E-3</v>
      </c>
      <c r="I142" s="85">
        <v>35169</v>
      </c>
      <c r="J142" s="88">
        <v>2.1825999999999999</v>
      </c>
      <c r="K142" s="85">
        <v>31325</v>
      </c>
      <c r="L142" s="85">
        <v>244000</v>
      </c>
      <c r="M142" s="86">
        <v>1.9E-3</v>
      </c>
    </row>
    <row r="143" spans="1:13" customFormat="1" ht="16.5" x14ac:dyDescent="0.4">
      <c r="A143" s="72">
        <v>20240704</v>
      </c>
      <c r="B143" s="82" t="s">
        <v>18</v>
      </c>
      <c r="C143" s="83">
        <v>7434210</v>
      </c>
      <c r="D143" s="83">
        <v>68144</v>
      </c>
      <c r="E143" s="86">
        <v>9.1999999999999998E-3</v>
      </c>
      <c r="F143" s="85">
        <v>16394385</v>
      </c>
      <c r="G143" s="85">
        <v>79052</v>
      </c>
      <c r="H143" s="87">
        <v>4.7999999999999996E-3</v>
      </c>
      <c r="I143" s="85">
        <v>37912</v>
      </c>
      <c r="J143" s="88">
        <v>2.2052999999999998</v>
      </c>
      <c r="K143" s="85">
        <v>32030</v>
      </c>
      <c r="L143" s="85">
        <v>244000</v>
      </c>
      <c r="M143" s="86">
        <v>2E-3</v>
      </c>
    </row>
    <row r="144" spans="1:13" customFormat="1" ht="16.5" x14ac:dyDescent="0.4">
      <c r="A144" s="72">
        <v>20240703</v>
      </c>
      <c r="B144" s="82" t="s">
        <v>18</v>
      </c>
      <c r="C144" s="83">
        <v>7552936</v>
      </c>
      <c r="D144" s="83">
        <v>66847</v>
      </c>
      <c r="E144" s="86">
        <v>8.8999999999999999E-3</v>
      </c>
      <c r="F144" s="85">
        <v>20902838</v>
      </c>
      <c r="G144" s="85">
        <v>77306</v>
      </c>
      <c r="H144" s="87">
        <v>3.7000000000000002E-3</v>
      </c>
      <c r="I144" s="85">
        <v>36985</v>
      </c>
      <c r="J144" s="88">
        <v>2.7675000000000001</v>
      </c>
      <c r="K144" s="85">
        <v>31732</v>
      </c>
      <c r="L144" s="85">
        <v>244000</v>
      </c>
      <c r="M144" s="86">
        <v>1.5E-3</v>
      </c>
    </row>
    <row r="145" spans="1:13" customFormat="1" ht="16.5" x14ac:dyDescent="0.4">
      <c r="A145" s="72">
        <v>20240702</v>
      </c>
      <c r="B145" s="82" t="s">
        <v>18</v>
      </c>
      <c r="C145" s="83">
        <v>6979190</v>
      </c>
      <c r="D145" s="83">
        <v>64414</v>
      </c>
      <c r="E145" s="86">
        <v>9.1999999999999998E-3</v>
      </c>
      <c r="F145" s="85">
        <v>15566418</v>
      </c>
      <c r="G145" s="85">
        <v>74183</v>
      </c>
      <c r="H145" s="87">
        <v>4.7999999999999996E-3</v>
      </c>
      <c r="I145" s="85">
        <v>34977</v>
      </c>
      <c r="J145" s="88">
        <v>2.2303999999999999</v>
      </c>
      <c r="K145" s="85">
        <v>29660</v>
      </c>
      <c r="L145" s="85">
        <v>244000</v>
      </c>
      <c r="M145" s="86">
        <v>1.9E-3</v>
      </c>
    </row>
    <row r="146" spans="1:13" customFormat="1" ht="16.5" x14ac:dyDescent="0.4">
      <c r="A146" s="72">
        <v>20240701</v>
      </c>
      <c r="B146" s="82" t="s">
        <v>18</v>
      </c>
      <c r="C146" s="83">
        <v>7261008</v>
      </c>
      <c r="D146" s="83">
        <v>58046</v>
      </c>
      <c r="E146" s="86">
        <v>8.0000000000000002E-3</v>
      </c>
      <c r="F146" s="85">
        <v>15952637</v>
      </c>
      <c r="G146" s="85">
        <v>67202</v>
      </c>
      <c r="H146" s="87">
        <v>4.1999999999999997E-3</v>
      </c>
      <c r="I146" s="85">
        <v>28616</v>
      </c>
      <c r="J146" s="88">
        <v>2.1970000000000001</v>
      </c>
      <c r="K146" s="85">
        <v>25479</v>
      </c>
      <c r="L146" s="85">
        <v>244000</v>
      </c>
      <c r="M146" s="86">
        <v>1.6000000000000001E-3</v>
      </c>
    </row>
    <row r="147" spans="1:13" customFormat="1" ht="16.5" x14ac:dyDescent="0.4">
      <c r="A147" s="22" t="s">
        <v>971</v>
      </c>
      <c r="B147" s="52" t="s">
        <v>18</v>
      </c>
      <c r="C147" s="19">
        <v>7651125.0666666664</v>
      </c>
      <c r="D147" s="19">
        <v>61891.7</v>
      </c>
      <c r="E147" s="35">
        <v>8.3966666666666651E-3</v>
      </c>
      <c r="F147" s="19">
        <v>18927771.899999999</v>
      </c>
      <c r="G147" s="19">
        <v>71642.96666666666</v>
      </c>
      <c r="H147" s="35">
        <v>3.9299999999999995E-3</v>
      </c>
      <c r="I147" s="19">
        <v>35265.800000000003</v>
      </c>
      <c r="J147" s="21">
        <v>2.4804400000000002</v>
      </c>
      <c r="K147" s="19">
        <v>29000.466666666667</v>
      </c>
      <c r="L147" s="19">
        <v>244000</v>
      </c>
      <c r="M147" s="35">
        <v>1.5933333333333333E-3</v>
      </c>
    </row>
    <row r="148" spans="1:13" customFormat="1" ht="16.5" x14ac:dyDescent="0.4">
      <c r="A148" s="22" t="s">
        <v>890</v>
      </c>
      <c r="B148" s="52" t="s">
        <v>18</v>
      </c>
      <c r="C148" s="19">
        <v>7355564.1612903224</v>
      </c>
      <c r="D148" s="19">
        <v>54565.032258064515</v>
      </c>
      <c r="E148" s="35">
        <v>7.9193548387096763E-3</v>
      </c>
      <c r="F148" s="19">
        <v>16489307.838709677</v>
      </c>
      <c r="G148" s="19">
        <v>62273.516129032258</v>
      </c>
      <c r="H148" s="35">
        <v>4.0612903225806449E-3</v>
      </c>
      <c r="I148" s="19">
        <v>31271.580645161292</v>
      </c>
      <c r="J148" s="21">
        <v>2.2484709677419352</v>
      </c>
      <c r="K148" s="19">
        <v>25085.354838709678</v>
      </c>
      <c r="L148" s="19">
        <v>244000</v>
      </c>
      <c r="M148" s="35">
        <v>1.596774193548387E-3</v>
      </c>
    </row>
    <row r="149" spans="1:13" customFormat="1" ht="16.5" x14ac:dyDescent="0.4">
      <c r="A149" s="22" t="s">
        <v>755</v>
      </c>
      <c r="B149" s="52" t="s">
        <v>18</v>
      </c>
      <c r="C149" s="19">
        <v>3195128.1666666665</v>
      </c>
      <c r="D149" s="19">
        <v>39001.23333333333</v>
      </c>
      <c r="E149" s="35">
        <v>1.43E-2</v>
      </c>
      <c r="F149" s="19">
        <v>8087935.3666666662</v>
      </c>
      <c r="G149" s="19">
        <v>44808.833333333336</v>
      </c>
      <c r="H149" s="35">
        <v>6.9366666666666665E-3</v>
      </c>
      <c r="I149" s="19">
        <v>20785</v>
      </c>
      <c r="J149" s="21">
        <v>2.5070866666666665</v>
      </c>
      <c r="K149" s="19">
        <v>16188.533333333333</v>
      </c>
      <c r="L149" s="19">
        <v>244000</v>
      </c>
      <c r="M149" s="35">
        <v>2.32E-3</v>
      </c>
    </row>
    <row r="150" spans="1:13" customFormat="1" ht="16.5" x14ac:dyDescent="0.4">
      <c r="A150" s="22" t="s">
        <v>662</v>
      </c>
      <c r="B150" s="52" t="s">
        <v>18</v>
      </c>
      <c r="C150" s="19">
        <v>3933480.1290322579</v>
      </c>
      <c r="D150" s="19">
        <v>37550</v>
      </c>
      <c r="E150" s="35">
        <v>9.5451612903225767E-3</v>
      </c>
      <c r="F150" s="19">
        <v>9365129.4193548393</v>
      </c>
      <c r="G150" s="19">
        <v>42548.838709677417</v>
      </c>
      <c r="H150" s="35">
        <v>4.3903225806451607E-3</v>
      </c>
      <c r="I150" s="19">
        <v>21604.322580645163</v>
      </c>
      <c r="J150" s="21">
        <v>2.4012612903225814</v>
      </c>
      <c r="K150" s="19">
        <v>16795</v>
      </c>
      <c r="L150" s="19">
        <v>244000</v>
      </c>
      <c r="M150" s="35">
        <v>1.741935483870968E-3</v>
      </c>
    </row>
    <row r="151" spans="1:13" s="2" customFormat="1" ht="16.5" x14ac:dyDescent="0.4">
      <c r="A151" s="22" t="s">
        <v>530</v>
      </c>
      <c r="B151" s="52" t="s">
        <v>18</v>
      </c>
      <c r="C151" s="19">
        <v>7639572.3793103453</v>
      </c>
      <c r="D151" s="19">
        <v>49812.206896551725</v>
      </c>
      <c r="E151" s="35">
        <v>6.5724137931034484E-3</v>
      </c>
      <c r="F151" s="19">
        <v>17580110.620689657</v>
      </c>
      <c r="G151" s="19">
        <v>57149.862068965514</v>
      </c>
      <c r="H151" s="35">
        <v>3.2413793103448279E-3</v>
      </c>
      <c r="I151" s="19">
        <v>28564.724137931036</v>
      </c>
      <c r="J151" s="21">
        <v>2.3162000000000003</v>
      </c>
      <c r="K151" s="19">
        <v>22958.482758620688</v>
      </c>
      <c r="L151" s="19">
        <v>244000</v>
      </c>
      <c r="M151" s="35">
        <v>1.3068965517241378E-3</v>
      </c>
    </row>
    <row r="152" spans="1:13" s="2" customFormat="1" ht="16.5" x14ac:dyDescent="0.4">
      <c r="A152" s="22" t="s">
        <v>464</v>
      </c>
      <c r="B152" s="52" t="s">
        <v>18</v>
      </c>
      <c r="C152" s="19">
        <v>8250504.5806451617</v>
      </c>
      <c r="D152" s="19">
        <v>73167.032258064515</v>
      </c>
      <c r="E152" s="35">
        <v>8.9516129032258078E-3</v>
      </c>
      <c r="F152" s="19">
        <v>22644740.677419353</v>
      </c>
      <c r="G152" s="19">
        <v>84439.838709677424</v>
      </c>
      <c r="H152" s="35">
        <v>3.7322580645161294E-3</v>
      </c>
      <c r="I152" s="19">
        <v>41140.516129032258</v>
      </c>
      <c r="J152" s="21">
        <v>2.7621806451612905</v>
      </c>
      <c r="K152" s="19">
        <v>36223.258064516129</v>
      </c>
      <c r="L152" s="19">
        <v>244000</v>
      </c>
      <c r="M152" s="35">
        <v>1.6064516129032258E-3</v>
      </c>
    </row>
    <row r="153" spans="1:13" s="2" customFormat="1" ht="16.5" x14ac:dyDescent="0.4">
      <c r="A153" s="22" t="s">
        <v>215</v>
      </c>
      <c r="B153" s="52" t="s">
        <v>18</v>
      </c>
      <c r="C153" s="19">
        <v>9087991.064516129</v>
      </c>
      <c r="D153" s="19">
        <v>96148.967741935485</v>
      </c>
      <c r="E153" s="35">
        <v>1.0674193548387095E-2</v>
      </c>
      <c r="F153" s="19">
        <v>25333650.741935484</v>
      </c>
      <c r="G153" s="19">
        <v>113071.3870967742</v>
      </c>
      <c r="H153" s="35">
        <v>4.4838709677419352E-3</v>
      </c>
      <c r="I153" s="19">
        <v>55611.774193548386</v>
      </c>
      <c r="J153" s="21">
        <v>2.7973193548387099</v>
      </c>
      <c r="K153" s="19">
        <v>50012.161290322583</v>
      </c>
      <c r="L153" s="19">
        <v>244000</v>
      </c>
      <c r="M153" s="35">
        <v>1.9774193548387103E-3</v>
      </c>
    </row>
    <row r="154" spans="1:13" s="2" customFormat="1" ht="16.5" x14ac:dyDescent="0.4">
      <c r="A154" s="22" t="s">
        <v>216</v>
      </c>
      <c r="B154" s="52" t="s">
        <v>18</v>
      </c>
      <c r="C154" s="19">
        <v>9300759.4666666668</v>
      </c>
      <c r="D154" s="19">
        <v>99622.1</v>
      </c>
      <c r="E154" s="35">
        <v>1.0733333333333334E-2</v>
      </c>
      <c r="F154" s="19">
        <v>25657256.300000001</v>
      </c>
      <c r="G154" s="19">
        <v>116487.6</v>
      </c>
      <c r="H154" s="35">
        <v>4.5499999999999994E-3</v>
      </c>
      <c r="I154" s="19">
        <v>57804.133333333331</v>
      </c>
      <c r="J154" s="90">
        <v>2.7621266666666671</v>
      </c>
      <c r="K154" s="19">
        <v>52006.933333333334</v>
      </c>
      <c r="L154" s="19">
        <v>244000</v>
      </c>
      <c r="M154" s="35">
        <v>2.0433333333333336E-3</v>
      </c>
    </row>
    <row r="155" spans="1:13" s="2" customFormat="1" ht="16.5" x14ac:dyDescent="0.4">
      <c r="A155" s="22" t="s">
        <v>225</v>
      </c>
      <c r="B155" s="52" t="s">
        <v>18</v>
      </c>
      <c r="C155" s="19">
        <v>9061504.1290322579</v>
      </c>
      <c r="D155" s="19">
        <v>120811.41935483871</v>
      </c>
      <c r="E155" s="20">
        <v>1.3516129032258068E-2</v>
      </c>
      <c r="F155" s="19">
        <v>26199592.580645163</v>
      </c>
      <c r="G155" s="19">
        <v>141851.19354838709</v>
      </c>
      <c r="H155" s="20">
        <v>5.4322580645161283E-3</v>
      </c>
      <c r="I155" s="19">
        <v>67742.06451612903</v>
      </c>
      <c r="J155" s="71">
        <v>2.9051516129032264</v>
      </c>
      <c r="K155" s="19">
        <v>61650.290322580644</v>
      </c>
      <c r="L155" s="53">
        <v>244000</v>
      </c>
      <c r="M155" s="20">
        <v>2.3726881720430109E-3</v>
      </c>
    </row>
    <row r="156" spans="1:13" s="2" customFormat="1" ht="16.5" x14ac:dyDescent="0.4">
      <c r="A156" s="22" t="s">
        <v>219</v>
      </c>
      <c r="B156" s="52" t="s">
        <v>18</v>
      </c>
      <c r="C156" s="19">
        <v>9346432.7333333325</v>
      </c>
      <c r="D156" s="19">
        <v>129226.13333333333</v>
      </c>
      <c r="E156" s="20">
        <v>1.3873333333333333E-2</v>
      </c>
      <c r="F156" s="19">
        <v>26924730.833333332</v>
      </c>
      <c r="G156" s="19">
        <v>152995.20000000001</v>
      </c>
      <c r="H156" s="20">
        <v>5.7033333333333337E-3</v>
      </c>
      <c r="I156" s="19">
        <v>76411.733333333337</v>
      </c>
      <c r="J156" s="71">
        <v>2.8822899999999998</v>
      </c>
      <c r="K156" s="19">
        <v>68297.633333333331</v>
      </c>
      <c r="L156" s="53">
        <v>244000</v>
      </c>
      <c r="M156" s="20">
        <v>2.7425974524533541E-3</v>
      </c>
    </row>
    <row r="157" spans="1:13" s="2" customFormat="1" ht="16.5" x14ac:dyDescent="0.4">
      <c r="A157" s="22" t="s">
        <v>220</v>
      </c>
      <c r="B157" s="52" t="s">
        <v>18</v>
      </c>
      <c r="C157" s="19">
        <v>9999203.2903225813</v>
      </c>
      <c r="D157" s="19">
        <v>153164.74193548388</v>
      </c>
      <c r="E157" s="20">
        <v>1.5317694569098282E-2</v>
      </c>
      <c r="F157" s="19">
        <v>28317022.419354837</v>
      </c>
      <c r="G157" s="19">
        <v>182968.22580645161</v>
      </c>
      <c r="H157" s="20">
        <v>6.4614217941711214E-3</v>
      </c>
      <c r="I157" s="19">
        <v>87280.548387096773</v>
      </c>
      <c r="J157" s="71">
        <v>2.8354451612903224</v>
      </c>
      <c r="K157" s="19">
        <v>77662.193548387091</v>
      </c>
      <c r="L157" s="53">
        <v>330000</v>
      </c>
      <c r="M157" s="20">
        <v>2.8073308163005396E-3</v>
      </c>
    </row>
    <row r="158" spans="1:13" s="2" customFormat="1" ht="16.5" x14ac:dyDescent="0.4">
      <c r="A158" s="22" t="s">
        <v>229</v>
      </c>
      <c r="B158" s="42" t="s">
        <v>230</v>
      </c>
      <c r="C158" s="19">
        <v>10572986.64516129</v>
      </c>
      <c r="D158" s="19">
        <v>165518</v>
      </c>
      <c r="E158" s="20">
        <v>1.5654800819761654E-2</v>
      </c>
      <c r="F158" s="19">
        <v>30083655.870967742</v>
      </c>
      <c r="G158" s="19">
        <v>198133.96774193548</v>
      </c>
      <c r="H158" s="20">
        <v>6.5861000601707071E-3</v>
      </c>
      <c r="I158" s="19">
        <v>94635.129032258061</v>
      </c>
      <c r="J158" s="21">
        <v>2.8488935483870965</v>
      </c>
      <c r="K158" s="19">
        <v>84454.774193548394</v>
      </c>
      <c r="L158" s="19">
        <v>244000</v>
      </c>
      <c r="M158" s="20">
        <v>3.2933333333333339E-3</v>
      </c>
    </row>
    <row r="159" spans="1:13" s="2" customFormat="1" ht="16.5" x14ac:dyDescent="0.4">
      <c r="A159" s="25"/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spans="1:13" s="2" customFormat="1" ht="16.5" x14ac:dyDescent="0.4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1:12" s="2" customFormat="1" ht="16.5" x14ac:dyDescent="0.4">
      <c r="A161" s="18" t="s">
        <v>3</v>
      </c>
      <c r="B161" s="18" t="s">
        <v>4</v>
      </c>
      <c r="C161" s="18" t="s">
        <v>8</v>
      </c>
      <c r="D161" s="18" t="s">
        <v>231</v>
      </c>
      <c r="E161" s="18" t="s">
        <v>9</v>
      </c>
      <c r="F161" s="18" t="s">
        <v>6</v>
      </c>
      <c r="G161" s="18" t="s">
        <v>10</v>
      </c>
      <c r="H161" s="18" t="s">
        <v>232</v>
      </c>
      <c r="I161" s="18" t="s">
        <v>12</v>
      </c>
      <c r="J161" s="18" t="s">
        <v>99</v>
      </c>
      <c r="K161" s="34"/>
      <c r="L161" s="25"/>
    </row>
    <row r="162" spans="1:12" customFormat="1" ht="16.5" x14ac:dyDescent="0.4">
      <c r="A162" s="43">
        <v>20240716</v>
      </c>
      <c r="B162" s="43" t="s">
        <v>19</v>
      </c>
      <c r="C162" s="19">
        <v>3653881</v>
      </c>
      <c r="D162" s="19">
        <v>2889168</v>
      </c>
      <c r="E162" s="19">
        <v>16944</v>
      </c>
      <c r="F162" s="19">
        <v>15743</v>
      </c>
      <c r="G162" s="44">
        <v>4.5999999999999999E-3</v>
      </c>
      <c r="H162" s="44">
        <v>5.4000000000000003E-3</v>
      </c>
      <c r="I162" s="19">
        <v>5932</v>
      </c>
      <c r="J162" s="19">
        <v>26000</v>
      </c>
    </row>
    <row r="163" spans="1:12" customFormat="1" ht="16.5" x14ac:dyDescent="0.4">
      <c r="A163" s="43">
        <v>20240716</v>
      </c>
      <c r="B163" s="43" t="s">
        <v>19</v>
      </c>
      <c r="C163" s="19">
        <v>3653881</v>
      </c>
      <c r="D163" s="19">
        <v>2889168</v>
      </c>
      <c r="E163" s="19">
        <v>16944</v>
      </c>
      <c r="F163" s="19">
        <v>15743</v>
      </c>
      <c r="G163" s="44">
        <v>4.5999999999999999E-3</v>
      </c>
      <c r="H163" s="44">
        <v>5.4000000000000003E-3</v>
      </c>
      <c r="I163" s="19">
        <v>5932</v>
      </c>
      <c r="J163" s="19">
        <v>26000</v>
      </c>
    </row>
    <row r="164" spans="1:12" customFormat="1" ht="16.5" x14ac:dyDescent="0.4">
      <c r="A164" s="43">
        <v>20240715</v>
      </c>
      <c r="B164" s="43" t="s">
        <v>19</v>
      </c>
      <c r="C164" s="19">
        <v>1649869</v>
      </c>
      <c r="D164" s="19">
        <v>1197922</v>
      </c>
      <c r="E164" s="19">
        <v>11403</v>
      </c>
      <c r="F164" s="19">
        <v>10777</v>
      </c>
      <c r="G164" s="44">
        <v>6.8999999999999999E-3</v>
      </c>
      <c r="H164" s="44">
        <v>8.9999999999999993E-3</v>
      </c>
      <c r="I164" s="19">
        <v>3633</v>
      </c>
      <c r="J164" s="19">
        <v>26000</v>
      </c>
    </row>
    <row r="165" spans="1:12" customFormat="1" ht="16.5" x14ac:dyDescent="0.4">
      <c r="A165" s="43">
        <v>20240714</v>
      </c>
      <c r="B165" s="43" t="s">
        <v>19</v>
      </c>
      <c r="C165" s="19">
        <v>4692509</v>
      </c>
      <c r="D165" s="19">
        <v>3944061</v>
      </c>
      <c r="E165" s="19">
        <v>14308</v>
      </c>
      <c r="F165" s="19">
        <v>13659</v>
      </c>
      <c r="G165" s="44">
        <v>3.0000000000000001E-3</v>
      </c>
      <c r="H165" s="44">
        <v>3.5000000000000001E-3</v>
      </c>
      <c r="I165" s="19">
        <v>5001</v>
      </c>
      <c r="J165" s="19">
        <v>26000</v>
      </c>
    </row>
    <row r="166" spans="1:12" customFormat="1" ht="16.5" x14ac:dyDescent="0.4">
      <c r="A166" s="43">
        <v>20240713</v>
      </c>
      <c r="B166" s="43" t="s">
        <v>19</v>
      </c>
      <c r="C166" s="19">
        <v>6241322</v>
      </c>
      <c r="D166" s="19">
        <v>3964649</v>
      </c>
      <c r="E166" s="19">
        <v>31335</v>
      </c>
      <c r="F166" s="19">
        <v>29133</v>
      </c>
      <c r="G166" s="44">
        <v>5.0000000000000001E-3</v>
      </c>
      <c r="H166" s="44">
        <v>7.3000000000000001E-3</v>
      </c>
      <c r="I166" s="19">
        <v>11943</v>
      </c>
      <c r="J166" s="19">
        <v>26000</v>
      </c>
    </row>
    <row r="167" spans="1:12" customFormat="1" ht="16.5" x14ac:dyDescent="0.4">
      <c r="A167" s="43">
        <v>20240712</v>
      </c>
      <c r="B167" s="43" t="s">
        <v>19</v>
      </c>
      <c r="C167" s="19">
        <v>3437146</v>
      </c>
      <c r="D167" s="19">
        <v>2682785</v>
      </c>
      <c r="E167" s="19">
        <v>23820</v>
      </c>
      <c r="F167" s="19">
        <v>22256</v>
      </c>
      <c r="G167" s="44">
        <v>6.8999999999999999E-3</v>
      </c>
      <c r="H167" s="44">
        <v>8.3000000000000001E-3</v>
      </c>
      <c r="I167" s="19">
        <v>9656</v>
      </c>
      <c r="J167" s="19">
        <v>26000</v>
      </c>
    </row>
    <row r="168" spans="1:12" customFormat="1" ht="16.5" x14ac:dyDescent="0.4">
      <c r="A168" s="43">
        <v>20240711</v>
      </c>
      <c r="B168" s="43" t="s">
        <v>19</v>
      </c>
      <c r="C168" s="19">
        <v>4465318</v>
      </c>
      <c r="D168" s="19">
        <v>3421212</v>
      </c>
      <c r="E168" s="19">
        <v>25014</v>
      </c>
      <c r="F168" s="19">
        <v>23442</v>
      </c>
      <c r="G168" s="44">
        <v>5.5999999999999999E-3</v>
      </c>
      <c r="H168" s="44">
        <v>6.8999999999999999E-3</v>
      </c>
      <c r="I168" s="19">
        <v>9728</v>
      </c>
      <c r="J168" s="19">
        <v>26000</v>
      </c>
    </row>
    <row r="169" spans="1:12" customFormat="1" ht="16.5" x14ac:dyDescent="0.4">
      <c r="A169" s="43">
        <v>20240710</v>
      </c>
      <c r="B169" s="43" t="s">
        <v>19</v>
      </c>
      <c r="C169" s="19">
        <v>7286528</v>
      </c>
      <c r="D169" s="19">
        <v>4489138</v>
      </c>
      <c r="E169" s="19">
        <v>35298</v>
      </c>
      <c r="F169" s="19">
        <v>33085</v>
      </c>
      <c r="G169" s="44">
        <v>4.7999999999999996E-3</v>
      </c>
      <c r="H169" s="44">
        <v>7.4000000000000003E-3</v>
      </c>
      <c r="I169" s="19">
        <v>15391</v>
      </c>
      <c r="J169" s="19">
        <v>26000</v>
      </c>
    </row>
    <row r="170" spans="1:12" customFormat="1" ht="16.5" x14ac:dyDescent="0.4">
      <c r="A170" s="43">
        <v>20240709</v>
      </c>
      <c r="B170" s="43" t="s">
        <v>19</v>
      </c>
      <c r="C170" s="19">
        <v>7778934</v>
      </c>
      <c r="D170" s="19">
        <v>5205388</v>
      </c>
      <c r="E170" s="19">
        <v>42229</v>
      </c>
      <c r="F170" s="19">
        <v>39138</v>
      </c>
      <c r="G170" s="44">
        <v>5.4000000000000003E-3</v>
      </c>
      <c r="H170" s="44">
        <v>7.4999999999999997E-3</v>
      </c>
      <c r="I170" s="19">
        <v>18615</v>
      </c>
      <c r="J170" s="19">
        <v>26000</v>
      </c>
    </row>
    <row r="171" spans="1:12" customFormat="1" ht="16.5" x14ac:dyDescent="0.4">
      <c r="A171" s="43">
        <v>20240708</v>
      </c>
      <c r="B171" s="43" t="s">
        <v>19</v>
      </c>
      <c r="C171" s="19">
        <v>6190485</v>
      </c>
      <c r="D171" s="19">
        <v>5015591</v>
      </c>
      <c r="E171" s="19">
        <v>24928</v>
      </c>
      <c r="F171" s="19">
        <v>23213</v>
      </c>
      <c r="G171" s="44">
        <v>4.0000000000000001E-3</v>
      </c>
      <c r="H171" s="44">
        <v>4.5999999999999999E-3</v>
      </c>
      <c r="I171" s="19">
        <v>9823</v>
      </c>
      <c r="J171" s="19">
        <v>26000</v>
      </c>
    </row>
    <row r="172" spans="1:12" customFormat="1" ht="16.5" x14ac:dyDescent="0.4">
      <c r="A172" s="43">
        <v>20240707</v>
      </c>
      <c r="B172" s="43" t="s">
        <v>19</v>
      </c>
      <c r="C172" s="19">
        <v>6277107</v>
      </c>
      <c r="D172" s="19">
        <v>4608266</v>
      </c>
      <c r="E172" s="19">
        <v>29617</v>
      </c>
      <c r="F172" s="19">
        <v>27382</v>
      </c>
      <c r="G172" s="44">
        <v>4.7000000000000002E-3</v>
      </c>
      <c r="H172" s="44">
        <v>5.8999999999999999E-3</v>
      </c>
      <c r="I172" s="19">
        <v>11958</v>
      </c>
      <c r="J172" s="19">
        <v>26000</v>
      </c>
    </row>
    <row r="173" spans="1:12" customFormat="1" ht="16.5" x14ac:dyDescent="0.4">
      <c r="A173" s="43">
        <v>20240706</v>
      </c>
      <c r="B173" s="43" t="s">
        <v>19</v>
      </c>
      <c r="C173" s="19">
        <v>10959205</v>
      </c>
      <c r="D173" s="19">
        <v>6445673</v>
      </c>
      <c r="E173" s="19">
        <v>31401</v>
      </c>
      <c r="F173" s="19">
        <v>28972</v>
      </c>
      <c r="G173" s="44">
        <v>2.8999999999999998E-3</v>
      </c>
      <c r="H173" s="44">
        <v>4.4999999999999997E-3</v>
      </c>
      <c r="I173" s="19">
        <v>11951</v>
      </c>
      <c r="J173" s="19">
        <v>26000</v>
      </c>
    </row>
    <row r="174" spans="1:12" customFormat="1" ht="16.5" x14ac:dyDescent="0.4">
      <c r="A174" s="43">
        <v>20240705</v>
      </c>
      <c r="B174" s="43" t="s">
        <v>19</v>
      </c>
      <c r="C174" s="19">
        <v>7975311</v>
      </c>
      <c r="D174" s="19">
        <v>4838703</v>
      </c>
      <c r="E174" s="19">
        <v>29305</v>
      </c>
      <c r="F174" s="19">
        <v>27255</v>
      </c>
      <c r="G174" s="44">
        <v>3.7000000000000002E-3</v>
      </c>
      <c r="H174" s="44">
        <v>5.5999999999999999E-3</v>
      </c>
      <c r="I174" s="19">
        <v>12213</v>
      </c>
      <c r="J174" s="19">
        <v>26000</v>
      </c>
    </row>
    <row r="175" spans="1:12" customFormat="1" ht="16.5" x14ac:dyDescent="0.4">
      <c r="A175" s="43">
        <v>20240704</v>
      </c>
      <c r="B175" s="43" t="s">
        <v>19</v>
      </c>
      <c r="C175" s="19">
        <v>7465625</v>
      </c>
      <c r="D175" s="19">
        <v>5506116</v>
      </c>
      <c r="E175" s="19">
        <v>36589</v>
      </c>
      <c r="F175" s="19">
        <v>33295</v>
      </c>
      <c r="G175" s="44">
        <v>4.8999999999999998E-3</v>
      </c>
      <c r="H175" s="44">
        <v>6.0000000000000001E-3</v>
      </c>
      <c r="I175" s="19">
        <v>14914</v>
      </c>
      <c r="J175" s="19">
        <v>26000</v>
      </c>
    </row>
    <row r="176" spans="1:12" customFormat="1" ht="16.5" x14ac:dyDescent="0.4">
      <c r="A176" s="43">
        <v>20240703</v>
      </c>
      <c r="B176" s="43" t="s">
        <v>19</v>
      </c>
      <c r="C176" s="19">
        <v>7152854</v>
      </c>
      <c r="D176" s="19">
        <v>5404768</v>
      </c>
      <c r="E176" s="19">
        <v>20259</v>
      </c>
      <c r="F176" s="19">
        <v>19259</v>
      </c>
      <c r="G176" s="44">
        <v>2.8E-3</v>
      </c>
      <c r="H176" s="44">
        <v>3.5999999999999999E-3</v>
      </c>
      <c r="I176" s="19">
        <v>7987</v>
      </c>
      <c r="J176" s="19">
        <v>26000</v>
      </c>
    </row>
    <row r="177" spans="1:12" customFormat="1" ht="16.5" x14ac:dyDescent="0.4">
      <c r="A177" s="43">
        <v>20240702</v>
      </c>
      <c r="B177" s="43" t="s">
        <v>19</v>
      </c>
      <c r="C177" s="19">
        <v>2908714</v>
      </c>
      <c r="D177" s="19">
        <v>2137920</v>
      </c>
      <c r="E177" s="19">
        <v>17989</v>
      </c>
      <c r="F177" s="19">
        <v>16735</v>
      </c>
      <c r="G177" s="44">
        <v>6.1999999999999998E-3</v>
      </c>
      <c r="H177" s="44">
        <v>7.7999999999999996E-3</v>
      </c>
      <c r="I177" s="19">
        <v>6054</v>
      </c>
      <c r="J177" s="19">
        <v>26000</v>
      </c>
    </row>
    <row r="178" spans="1:12" customFormat="1" ht="16.5" x14ac:dyDescent="0.4">
      <c r="A178" s="43">
        <v>20240701</v>
      </c>
      <c r="B178" s="43" t="s">
        <v>19</v>
      </c>
      <c r="C178" s="19">
        <v>2733722</v>
      </c>
      <c r="D178" s="19">
        <v>2047903</v>
      </c>
      <c r="E178" s="19">
        <v>17003</v>
      </c>
      <c r="F178" s="19">
        <v>15910</v>
      </c>
      <c r="G178" s="44">
        <v>6.1999999999999998E-3</v>
      </c>
      <c r="H178" s="44">
        <v>7.7999999999999996E-3</v>
      </c>
      <c r="I178" s="19">
        <v>5560</v>
      </c>
      <c r="J178" s="19">
        <v>26000</v>
      </c>
    </row>
    <row r="179" spans="1:12" ht="17.149999999999999" customHeight="1" x14ac:dyDescent="0.4">
      <c r="A179" s="22" t="s">
        <v>971</v>
      </c>
      <c r="B179" s="43" t="s">
        <v>234</v>
      </c>
      <c r="C179" s="19">
        <v>4404359.3</v>
      </c>
      <c r="D179" s="19">
        <v>3364269.5333333332</v>
      </c>
      <c r="E179" s="19">
        <v>17996.3</v>
      </c>
      <c r="F179" s="19">
        <v>16971.099999999999</v>
      </c>
      <c r="G179" s="44">
        <v>4.6347642444523694E-3</v>
      </c>
      <c r="H179" s="44">
        <v>5.6277901918473207E-3</v>
      </c>
      <c r="I179" s="19">
        <v>7255.7666666666664</v>
      </c>
      <c r="J179" s="19">
        <v>26000</v>
      </c>
      <c r="K179" s="2"/>
      <c r="L179" s="2"/>
    </row>
    <row r="180" spans="1:12" ht="17.149999999999999" customHeight="1" x14ac:dyDescent="0.4">
      <c r="A180" s="22" t="s">
        <v>894</v>
      </c>
      <c r="B180" s="43" t="s">
        <v>233</v>
      </c>
      <c r="C180" s="19">
        <v>6290579.4838709673</v>
      </c>
      <c r="D180" s="19">
        <v>4474667.9677419355</v>
      </c>
      <c r="E180" s="19">
        <v>20889.870967741936</v>
      </c>
      <c r="F180" s="19">
        <v>19460</v>
      </c>
      <c r="G180" s="44">
        <v>3.8278013209792944E-3</v>
      </c>
      <c r="H180" s="44">
        <v>4.8937552148867651E-3</v>
      </c>
      <c r="I180" s="19">
        <v>8671.4193548387102</v>
      </c>
      <c r="J180" s="19">
        <v>26000</v>
      </c>
      <c r="K180" s="2"/>
      <c r="L180" s="2"/>
    </row>
    <row r="181" spans="1:12" ht="17.149999999999999" customHeight="1" x14ac:dyDescent="0.4">
      <c r="A181" s="22" t="s">
        <v>755</v>
      </c>
      <c r="B181" s="43" t="s">
        <v>233</v>
      </c>
      <c r="C181" s="19">
        <v>2069855.8</v>
      </c>
      <c r="D181" s="19">
        <v>1441859.4</v>
      </c>
      <c r="E181" s="19">
        <v>10535.933333333332</v>
      </c>
      <c r="F181" s="19">
        <v>9819.7666666666664</v>
      </c>
      <c r="G181" s="44">
        <v>8.0433333333333346E-3</v>
      </c>
      <c r="H181" s="44">
        <v>1.002333333333333E-2</v>
      </c>
      <c r="I181" s="19">
        <v>3727.9333333333334</v>
      </c>
      <c r="J181" s="19">
        <v>26000</v>
      </c>
      <c r="K181" s="2"/>
      <c r="L181" s="2"/>
    </row>
    <row r="182" spans="1:12" ht="17.149999999999999" customHeight="1" x14ac:dyDescent="0.4">
      <c r="A182" s="22" t="s">
        <v>662</v>
      </c>
      <c r="B182" s="43" t="s">
        <v>233</v>
      </c>
      <c r="C182" s="19">
        <v>4789674.3548387093</v>
      </c>
      <c r="D182" s="19">
        <v>2932272.6451612902</v>
      </c>
      <c r="E182" s="19">
        <v>16842.903225806451</v>
      </c>
      <c r="F182" s="19">
        <v>15532.935483870968</v>
      </c>
      <c r="G182" s="35">
        <v>3.8064516129032258E-3</v>
      </c>
      <c r="H182" s="35">
        <v>5.4612903225806451E-3</v>
      </c>
      <c r="I182" s="19">
        <v>6948.2580645161288</v>
      </c>
      <c r="J182" s="19">
        <v>26000</v>
      </c>
      <c r="K182" s="2"/>
      <c r="L182" s="2"/>
    </row>
    <row r="183" spans="1:12" ht="17.149999999999999" customHeight="1" x14ac:dyDescent="0.4">
      <c r="A183" s="22" t="s">
        <v>530</v>
      </c>
      <c r="B183" s="43" t="s">
        <v>536</v>
      </c>
      <c r="C183" s="19">
        <v>9335759</v>
      </c>
      <c r="D183" s="19">
        <v>5614211.9655172415</v>
      </c>
      <c r="E183" s="19">
        <v>23866.517241379312</v>
      </c>
      <c r="F183" s="19">
        <v>21609.379310344826</v>
      </c>
      <c r="G183" s="35">
        <v>2.8758620689655163E-3</v>
      </c>
      <c r="H183" s="35">
        <v>4.048275862068967E-3</v>
      </c>
      <c r="I183" s="19">
        <v>9965.8275862068967</v>
      </c>
      <c r="J183" s="19">
        <v>26000</v>
      </c>
      <c r="K183" s="2"/>
      <c r="L183" s="2"/>
    </row>
    <row r="184" spans="1:12" ht="17.149999999999999" customHeight="1" x14ac:dyDescent="0.4">
      <c r="A184" s="22" t="s">
        <v>464</v>
      </c>
      <c r="B184" s="43" t="s">
        <v>233</v>
      </c>
      <c r="C184" s="19">
        <v>8021138.0967741935</v>
      </c>
      <c r="D184" s="19">
        <v>4699905.2258064514</v>
      </c>
      <c r="E184" s="19">
        <v>23932.354838709678</v>
      </c>
      <c r="F184" s="19">
        <v>21774.612903225807</v>
      </c>
      <c r="G184" s="35">
        <v>3.5064516129032254E-3</v>
      </c>
      <c r="H184" s="35">
        <v>4.9064516129032256E-3</v>
      </c>
      <c r="I184" s="19">
        <v>9667.1612903225814</v>
      </c>
      <c r="J184" s="19">
        <v>26000</v>
      </c>
      <c r="K184" s="2"/>
      <c r="L184" s="2"/>
    </row>
    <row r="185" spans="1:12" ht="17.149999999999999" customHeight="1" x14ac:dyDescent="0.4">
      <c r="A185" s="22" t="s">
        <v>215</v>
      </c>
      <c r="B185" s="43" t="s">
        <v>233</v>
      </c>
      <c r="C185" s="19">
        <v>3801999.4193548388</v>
      </c>
      <c r="D185" s="19">
        <v>2923193.7741935486</v>
      </c>
      <c r="E185" s="19">
        <v>15804.41935483871</v>
      </c>
      <c r="F185" s="19">
        <v>14560.903225806451</v>
      </c>
      <c r="G185" s="35">
        <v>4.6096774193548386E-3</v>
      </c>
      <c r="H185" s="35">
        <v>5.387096774193547E-3</v>
      </c>
      <c r="I185" s="19">
        <v>5877.677419354839</v>
      </c>
      <c r="J185" s="19">
        <v>26000</v>
      </c>
      <c r="K185" s="2"/>
      <c r="L185" s="2"/>
    </row>
    <row r="186" spans="1:12" ht="17.149999999999999" customHeight="1" x14ac:dyDescent="0.4">
      <c r="A186" s="22" t="s">
        <v>216</v>
      </c>
      <c r="B186" s="43" t="s">
        <v>233</v>
      </c>
      <c r="C186" s="19">
        <v>3378722.7666666666</v>
      </c>
      <c r="D186" s="19">
        <v>2588281.3666666667</v>
      </c>
      <c r="E186" s="19">
        <v>17554.833333333332</v>
      </c>
      <c r="F186" s="19">
        <v>16048.333333333334</v>
      </c>
      <c r="G186" s="35">
        <v>5.4733333333333344E-3</v>
      </c>
      <c r="H186" s="35">
        <v>6.566666666666666E-3</v>
      </c>
      <c r="I186" s="19">
        <v>6403.833333333333</v>
      </c>
      <c r="J186" s="19">
        <v>26000</v>
      </c>
      <c r="K186" s="2"/>
      <c r="L186" s="2"/>
    </row>
    <row r="187" spans="1:12" ht="17.149999999999999" customHeight="1" x14ac:dyDescent="0.4">
      <c r="A187" s="22" t="s">
        <v>217</v>
      </c>
      <c r="B187" s="43" t="s">
        <v>233</v>
      </c>
      <c r="C187" s="19">
        <v>3039993.2258064514</v>
      </c>
      <c r="D187" s="19">
        <v>2281292.064516129</v>
      </c>
      <c r="E187" s="19">
        <v>16005.709677419354</v>
      </c>
      <c r="F187" s="19">
        <v>14861.870967741936</v>
      </c>
      <c r="G187" s="44">
        <v>6.2451612903225784E-3</v>
      </c>
      <c r="H187" s="44">
        <v>7.4548387096774202E-3</v>
      </c>
      <c r="I187" s="19">
        <v>5678.322580645161</v>
      </c>
      <c r="J187" s="19">
        <v>26000</v>
      </c>
      <c r="K187" s="2"/>
      <c r="L187" s="2"/>
    </row>
    <row r="188" spans="1:12" ht="17.149999999999999" customHeight="1" x14ac:dyDescent="0.4">
      <c r="A188" s="22" t="s">
        <v>175</v>
      </c>
      <c r="B188" s="43" t="s">
        <v>233</v>
      </c>
      <c r="C188" s="19">
        <v>2614828.8333333335</v>
      </c>
      <c r="D188" s="19">
        <v>2022942.1333333333</v>
      </c>
      <c r="E188" s="19">
        <v>17225.400000000001</v>
      </c>
      <c r="F188" s="19">
        <v>15692.933333333332</v>
      </c>
      <c r="G188" s="44">
        <v>7.876666666666669E-3</v>
      </c>
      <c r="H188" s="44">
        <v>9.1100000000000018E-3</v>
      </c>
      <c r="I188" s="19">
        <v>6215.9</v>
      </c>
      <c r="J188" s="19">
        <v>26000</v>
      </c>
      <c r="K188" s="2"/>
      <c r="L188" s="2"/>
    </row>
    <row r="189" spans="1:12" ht="17.149999999999999" customHeight="1" x14ac:dyDescent="0.4">
      <c r="A189" s="22" t="s">
        <v>220</v>
      </c>
      <c r="B189" s="43" t="s">
        <v>233</v>
      </c>
      <c r="C189" s="19">
        <v>6719655.4516129028</v>
      </c>
      <c r="D189" s="19">
        <v>4606719.6129032262</v>
      </c>
      <c r="E189" s="19">
        <v>41333.548387096773</v>
      </c>
      <c r="F189" s="19">
        <v>37771.709677419356</v>
      </c>
      <c r="G189" s="44">
        <v>6.1511410346456949E-3</v>
      </c>
      <c r="H189" s="44">
        <v>8.1992638691580876E-3</v>
      </c>
      <c r="I189" s="19">
        <v>16139.612903225807</v>
      </c>
      <c r="J189" s="19">
        <v>26000</v>
      </c>
      <c r="K189" s="2"/>
      <c r="L189" s="2"/>
    </row>
    <row r="190" spans="1:12" ht="17.149999999999999" customHeight="1" x14ac:dyDescent="0.4">
      <c r="A190" s="22" t="s">
        <v>221</v>
      </c>
      <c r="B190" s="43" t="s">
        <v>234</v>
      </c>
      <c r="C190" s="19">
        <v>7615278.0967741935</v>
      </c>
      <c r="D190" s="19">
        <v>5172154.8387096776</v>
      </c>
      <c r="E190" s="19">
        <v>44664.741935483871</v>
      </c>
      <c r="F190" s="19">
        <v>40864.903225806454</v>
      </c>
      <c r="G190" s="44">
        <v>6.1258064516129017E-3</v>
      </c>
      <c r="H190" s="44">
        <v>8.1161290322580657E-3</v>
      </c>
      <c r="I190" s="19">
        <v>17619.645161290322</v>
      </c>
      <c r="J190" s="19">
        <v>26000</v>
      </c>
      <c r="K190" s="2"/>
      <c r="L190" s="2"/>
    </row>
    <row r="191" spans="1:12" s="2" customFormat="1" ht="16.5" x14ac:dyDescent="0.4">
      <c r="A191" s="25"/>
      <c r="B191" s="25"/>
      <c r="C191" s="36"/>
      <c r="D191" s="36"/>
      <c r="E191" s="36"/>
      <c r="F191" s="36"/>
      <c r="G191" s="36"/>
      <c r="H191" s="36"/>
      <c r="I191" s="36"/>
      <c r="J191" s="36"/>
    </row>
    <row r="192" spans="1:12" s="2" customFormat="1" ht="16.5" x14ac:dyDescent="0.4">
      <c r="A192" s="25"/>
      <c r="B192" s="25"/>
      <c r="C192" s="37"/>
      <c r="D192" s="45"/>
      <c r="E192" s="37"/>
      <c r="F192" s="37"/>
      <c r="G192" s="29"/>
      <c r="H192" s="45"/>
      <c r="I192" s="25"/>
      <c r="J192" s="38"/>
    </row>
    <row r="193" spans="1:12" ht="16.5" customHeight="1" x14ac:dyDescent="0.4">
      <c r="A193" s="18" t="s">
        <v>3</v>
      </c>
      <c r="B193" s="18" t="s">
        <v>4</v>
      </c>
      <c r="C193" s="18" t="s">
        <v>8</v>
      </c>
      <c r="D193" s="18" t="s">
        <v>231</v>
      </c>
      <c r="E193" s="18" t="s">
        <v>9</v>
      </c>
      <c r="F193" s="18" t="s">
        <v>6</v>
      </c>
      <c r="G193" s="18" t="s">
        <v>10</v>
      </c>
      <c r="H193" s="18" t="s">
        <v>232</v>
      </c>
      <c r="I193" s="18" t="s">
        <v>12</v>
      </c>
      <c r="J193" s="18" t="s">
        <v>99</v>
      </c>
      <c r="K193" s="2"/>
      <c r="L193" s="2"/>
    </row>
    <row r="194" spans="1:12" customFormat="1" ht="16.5" x14ac:dyDescent="0.4">
      <c r="A194" s="43">
        <v>20240716</v>
      </c>
      <c r="B194" s="43" t="s">
        <v>20</v>
      </c>
      <c r="C194" s="19">
        <v>10852639</v>
      </c>
      <c r="D194" s="19">
        <v>5702395</v>
      </c>
      <c r="E194" s="19">
        <v>48516</v>
      </c>
      <c r="F194" s="19">
        <v>42656</v>
      </c>
      <c r="G194" s="44">
        <v>4.4999999999999997E-3</v>
      </c>
      <c r="H194" s="44">
        <v>7.4999999999999997E-3</v>
      </c>
      <c r="I194" s="19">
        <v>18836</v>
      </c>
      <c r="J194" s="19">
        <v>218000</v>
      </c>
    </row>
    <row r="195" spans="1:12" customFormat="1" ht="16.5" x14ac:dyDescent="0.4">
      <c r="A195" s="43">
        <v>20240716</v>
      </c>
      <c r="B195" s="43" t="s">
        <v>20</v>
      </c>
      <c r="C195" s="19">
        <v>10852639</v>
      </c>
      <c r="D195" s="19">
        <v>5702395</v>
      </c>
      <c r="E195" s="19">
        <v>48516</v>
      </c>
      <c r="F195" s="19">
        <v>42656</v>
      </c>
      <c r="G195" s="44">
        <v>4.4999999999999997E-3</v>
      </c>
      <c r="H195" s="44">
        <v>7.4999999999999997E-3</v>
      </c>
      <c r="I195" s="19">
        <v>18836</v>
      </c>
      <c r="J195" s="19">
        <v>218000</v>
      </c>
    </row>
    <row r="196" spans="1:12" customFormat="1" ht="16.5" x14ac:dyDescent="0.4">
      <c r="A196" s="43">
        <v>20240715</v>
      </c>
      <c r="B196" s="43" t="s">
        <v>20</v>
      </c>
      <c r="C196" s="19">
        <v>13179643</v>
      </c>
      <c r="D196" s="19">
        <v>6095271</v>
      </c>
      <c r="E196" s="19">
        <v>52121</v>
      </c>
      <c r="F196" s="19">
        <v>46634</v>
      </c>
      <c r="G196" s="44">
        <v>4.0000000000000001E-3</v>
      </c>
      <c r="H196" s="44">
        <v>7.7000000000000002E-3</v>
      </c>
      <c r="I196" s="19">
        <v>21040</v>
      </c>
      <c r="J196" s="19">
        <v>218000</v>
      </c>
    </row>
    <row r="197" spans="1:12" customFormat="1" ht="16.5" x14ac:dyDescent="0.4">
      <c r="A197" s="43">
        <v>20240714</v>
      </c>
      <c r="B197" s="43" t="s">
        <v>20</v>
      </c>
      <c r="C197" s="19">
        <v>11645307</v>
      </c>
      <c r="D197" s="19">
        <v>6581808</v>
      </c>
      <c r="E197" s="19">
        <v>60756</v>
      </c>
      <c r="F197" s="19">
        <v>52399</v>
      </c>
      <c r="G197" s="44">
        <v>5.1999999999999998E-3</v>
      </c>
      <c r="H197" s="44">
        <v>8.0000000000000002E-3</v>
      </c>
      <c r="I197" s="19">
        <v>18648</v>
      </c>
      <c r="J197" s="19">
        <v>218000</v>
      </c>
    </row>
    <row r="198" spans="1:12" customFormat="1" ht="16.5" x14ac:dyDescent="0.4">
      <c r="A198" s="43">
        <v>20240713</v>
      </c>
      <c r="B198" s="43" t="s">
        <v>20</v>
      </c>
      <c r="C198" s="19">
        <v>10432191</v>
      </c>
      <c r="D198" s="19">
        <v>5734444</v>
      </c>
      <c r="E198" s="19">
        <v>53136</v>
      </c>
      <c r="F198" s="19">
        <v>46864</v>
      </c>
      <c r="G198" s="44">
        <v>5.1000000000000004E-3</v>
      </c>
      <c r="H198" s="44">
        <v>8.2000000000000007E-3</v>
      </c>
      <c r="I198" s="19">
        <v>20985</v>
      </c>
      <c r="J198" s="19">
        <v>218000</v>
      </c>
    </row>
    <row r="199" spans="1:12" customFormat="1" ht="16.5" x14ac:dyDescent="0.4">
      <c r="A199" s="43">
        <v>20240712</v>
      </c>
      <c r="B199" s="43" t="s">
        <v>20</v>
      </c>
      <c r="C199" s="19">
        <v>11428445</v>
      </c>
      <c r="D199" s="19">
        <v>5587581</v>
      </c>
      <c r="E199" s="19">
        <v>67400</v>
      </c>
      <c r="F199" s="19">
        <v>60299</v>
      </c>
      <c r="G199" s="44">
        <v>5.8999999999999999E-3</v>
      </c>
      <c r="H199" s="44">
        <v>1.0800000000000001E-2</v>
      </c>
      <c r="I199" s="19">
        <v>29724</v>
      </c>
      <c r="J199" s="19">
        <v>218000</v>
      </c>
    </row>
    <row r="200" spans="1:12" customFormat="1" ht="16.5" x14ac:dyDescent="0.4">
      <c r="A200" s="43">
        <v>20240711</v>
      </c>
      <c r="B200" s="43" t="s">
        <v>20</v>
      </c>
      <c r="C200" s="19">
        <v>10562500</v>
      </c>
      <c r="D200" s="19">
        <v>5642110</v>
      </c>
      <c r="E200" s="19">
        <v>58252</v>
      </c>
      <c r="F200" s="19">
        <v>52242</v>
      </c>
      <c r="G200" s="44">
        <v>5.4999999999999997E-3</v>
      </c>
      <c r="H200" s="44">
        <v>9.2999999999999992E-3</v>
      </c>
      <c r="I200" s="19">
        <v>24485</v>
      </c>
      <c r="J200" s="19">
        <v>218000</v>
      </c>
    </row>
    <row r="201" spans="1:12" customFormat="1" ht="16.5" x14ac:dyDescent="0.4">
      <c r="A201" s="43">
        <v>20240710</v>
      </c>
      <c r="B201" s="43" t="s">
        <v>20</v>
      </c>
      <c r="C201" s="19">
        <v>7990365</v>
      </c>
      <c r="D201" s="19">
        <v>4675971</v>
      </c>
      <c r="E201" s="19">
        <v>43118</v>
      </c>
      <c r="F201" s="19">
        <v>38848</v>
      </c>
      <c r="G201" s="44">
        <v>5.4000000000000003E-3</v>
      </c>
      <c r="H201" s="44">
        <v>8.3000000000000001E-3</v>
      </c>
      <c r="I201" s="19">
        <v>16711</v>
      </c>
      <c r="J201" s="19">
        <v>218000</v>
      </c>
    </row>
    <row r="202" spans="1:12" customFormat="1" ht="16.5" x14ac:dyDescent="0.4">
      <c r="A202" s="43">
        <v>20240709</v>
      </c>
      <c r="B202" s="43" t="s">
        <v>20</v>
      </c>
      <c r="C202" s="19">
        <v>7965596</v>
      </c>
      <c r="D202" s="19">
        <v>4918277</v>
      </c>
      <c r="E202" s="19">
        <v>44526</v>
      </c>
      <c r="F202" s="19">
        <v>40056</v>
      </c>
      <c r="G202" s="44">
        <v>5.5999999999999999E-3</v>
      </c>
      <c r="H202" s="44">
        <v>8.0999999999999996E-3</v>
      </c>
      <c r="I202" s="19">
        <v>17693</v>
      </c>
      <c r="J202" s="19">
        <v>218000</v>
      </c>
    </row>
    <row r="203" spans="1:12" customFormat="1" ht="16.5" x14ac:dyDescent="0.4">
      <c r="A203" s="43">
        <v>20240708</v>
      </c>
      <c r="B203" s="43" t="s">
        <v>20</v>
      </c>
      <c r="C203" s="19">
        <v>11575161</v>
      </c>
      <c r="D203" s="19">
        <v>6821310</v>
      </c>
      <c r="E203" s="19">
        <v>48618</v>
      </c>
      <c r="F203" s="19">
        <v>43753</v>
      </c>
      <c r="G203" s="44">
        <v>4.1999999999999997E-3</v>
      </c>
      <c r="H203" s="44">
        <v>6.4000000000000003E-3</v>
      </c>
      <c r="I203" s="19">
        <v>20330</v>
      </c>
      <c r="J203" s="19">
        <v>218000</v>
      </c>
    </row>
    <row r="204" spans="1:12" customFormat="1" ht="16.5" x14ac:dyDescent="0.4">
      <c r="A204" s="43">
        <v>20240707</v>
      </c>
      <c r="B204" s="43" t="s">
        <v>20</v>
      </c>
      <c r="C204" s="19">
        <v>12262675</v>
      </c>
      <c r="D204" s="19">
        <v>7123374</v>
      </c>
      <c r="E204" s="19">
        <v>53849</v>
      </c>
      <c r="F204" s="19">
        <v>48133</v>
      </c>
      <c r="G204" s="44">
        <v>4.4000000000000003E-3</v>
      </c>
      <c r="H204" s="44">
        <v>6.7999999999999996E-3</v>
      </c>
      <c r="I204" s="19">
        <v>21931</v>
      </c>
      <c r="J204" s="19">
        <v>218000</v>
      </c>
    </row>
    <row r="205" spans="1:12" customFormat="1" ht="16.5" x14ac:dyDescent="0.4">
      <c r="A205" s="43">
        <v>20240706</v>
      </c>
      <c r="B205" s="43" t="s">
        <v>20</v>
      </c>
      <c r="C205" s="19">
        <v>8821081</v>
      </c>
      <c r="D205" s="19">
        <v>4928583</v>
      </c>
      <c r="E205" s="19">
        <v>53263</v>
      </c>
      <c r="F205" s="19">
        <v>47173</v>
      </c>
      <c r="G205" s="44">
        <v>6.0000000000000001E-3</v>
      </c>
      <c r="H205" s="44">
        <v>9.5999999999999992E-3</v>
      </c>
      <c r="I205" s="19">
        <v>20028</v>
      </c>
      <c r="J205" s="19">
        <v>218000</v>
      </c>
    </row>
    <row r="206" spans="1:12" customFormat="1" ht="16.5" x14ac:dyDescent="0.4">
      <c r="A206" s="43">
        <v>20240705</v>
      </c>
      <c r="B206" s="43" t="s">
        <v>20</v>
      </c>
      <c r="C206" s="19">
        <v>8273803</v>
      </c>
      <c r="D206" s="19">
        <v>5331358</v>
      </c>
      <c r="E206" s="19">
        <v>47886</v>
      </c>
      <c r="F206" s="19">
        <v>43086</v>
      </c>
      <c r="G206" s="44">
        <v>5.7999999999999996E-3</v>
      </c>
      <c r="H206" s="44">
        <v>8.0999999999999996E-3</v>
      </c>
      <c r="I206" s="19">
        <v>19112</v>
      </c>
      <c r="J206" s="19">
        <v>218000</v>
      </c>
    </row>
    <row r="207" spans="1:12" customFormat="1" ht="16.5" x14ac:dyDescent="0.4">
      <c r="A207" s="43">
        <v>20240704</v>
      </c>
      <c r="B207" s="43" t="s">
        <v>20</v>
      </c>
      <c r="C207" s="19">
        <v>8928760</v>
      </c>
      <c r="D207" s="19">
        <v>5363580</v>
      </c>
      <c r="E207" s="19">
        <v>42463</v>
      </c>
      <c r="F207" s="19">
        <v>38692</v>
      </c>
      <c r="G207" s="44">
        <v>4.7999999999999996E-3</v>
      </c>
      <c r="H207" s="44">
        <v>7.1999999999999998E-3</v>
      </c>
      <c r="I207" s="19">
        <v>17116</v>
      </c>
      <c r="J207" s="19">
        <v>218000</v>
      </c>
    </row>
    <row r="208" spans="1:12" customFormat="1" ht="16.5" x14ac:dyDescent="0.4">
      <c r="A208" s="43">
        <v>20240703</v>
      </c>
      <c r="B208" s="43" t="s">
        <v>20</v>
      </c>
      <c r="C208" s="19">
        <v>13749984</v>
      </c>
      <c r="D208" s="19">
        <v>7280209</v>
      </c>
      <c r="E208" s="19">
        <v>57047</v>
      </c>
      <c r="F208" s="19">
        <v>50706</v>
      </c>
      <c r="G208" s="44">
        <v>4.1000000000000003E-3</v>
      </c>
      <c r="H208" s="44">
        <v>7.0000000000000001E-3</v>
      </c>
      <c r="I208" s="19">
        <v>23745</v>
      </c>
      <c r="J208" s="19">
        <v>218000</v>
      </c>
    </row>
    <row r="209" spans="1:12" customFormat="1" ht="16.5" x14ac:dyDescent="0.4">
      <c r="A209" s="43">
        <v>20240702</v>
      </c>
      <c r="B209" s="43" t="s">
        <v>20</v>
      </c>
      <c r="C209" s="19">
        <v>12657704</v>
      </c>
      <c r="D209" s="19">
        <v>6316986</v>
      </c>
      <c r="E209" s="19">
        <v>56194</v>
      </c>
      <c r="F209" s="19">
        <v>50583</v>
      </c>
      <c r="G209" s="44">
        <v>4.4000000000000003E-3</v>
      </c>
      <c r="H209" s="44">
        <v>8.0000000000000002E-3</v>
      </c>
      <c r="I209" s="19">
        <v>23606</v>
      </c>
      <c r="J209" s="19">
        <v>218000</v>
      </c>
    </row>
    <row r="210" spans="1:12" customFormat="1" ht="16.5" x14ac:dyDescent="0.4">
      <c r="A210" s="43">
        <v>20240701</v>
      </c>
      <c r="B210" s="43" t="s">
        <v>20</v>
      </c>
      <c r="C210" s="19">
        <v>13218915</v>
      </c>
      <c r="D210" s="19">
        <v>7040673</v>
      </c>
      <c r="E210" s="19">
        <v>50199</v>
      </c>
      <c r="F210" s="19">
        <v>44622</v>
      </c>
      <c r="G210" s="44">
        <v>3.8E-3</v>
      </c>
      <c r="H210" s="44">
        <v>6.3E-3</v>
      </c>
      <c r="I210" s="19">
        <v>19919</v>
      </c>
      <c r="J210" s="19">
        <v>218000</v>
      </c>
    </row>
    <row r="211" spans="1:12" customFormat="1" ht="16.5" x14ac:dyDescent="0.4">
      <c r="A211" s="22" t="s">
        <v>976</v>
      </c>
      <c r="B211" s="43" t="s">
        <v>20</v>
      </c>
      <c r="C211" s="19">
        <v>14523411.233333332</v>
      </c>
      <c r="D211" s="19">
        <v>6928896.2333333334</v>
      </c>
      <c r="E211" s="19">
        <v>53646.76666666667</v>
      </c>
      <c r="F211" s="19">
        <v>47367.533333333333</v>
      </c>
      <c r="G211" s="44">
        <v>3.970236272492848E-3</v>
      </c>
      <c r="H211" s="44">
        <v>7.1605434327493955E-3</v>
      </c>
      <c r="I211" s="19">
        <v>21744.7</v>
      </c>
      <c r="J211" s="19">
        <v>218000</v>
      </c>
    </row>
    <row r="212" spans="1:12" customFormat="1" ht="16.5" x14ac:dyDescent="0.4">
      <c r="A212" s="22" t="s">
        <v>894</v>
      </c>
      <c r="B212" s="43" t="s">
        <v>20</v>
      </c>
      <c r="C212" s="19">
        <v>10198728.35483871</v>
      </c>
      <c r="D212" s="19">
        <v>5702168.7096774196</v>
      </c>
      <c r="E212" s="19">
        <v>41383.645161290326</v>
      </c>
      <c r="F212" s="19">
        <v>37186.161290322583</v>
      </c>
      <c r="G212" s="44">
        <v>4.4372853380755918E-3</v>
      </c>
      <c r="H212" s="44">
        <v>7.1146602150399096E-3</v>
      </c>
      <c r="I212" s="19">
        <v>16413.935483870966</v>
      </c>
      <c r="J212" s="19">
        <v>218000</v>
      </c>
    </row>
    <row r="213" spans="1:12" ht="17.149999999999999" customHeight="1" x14ac:dyDescent="0.4">
      <c r="A213" s="22" t="s">
        <v>758</v>
      </c>
      <c r="B213" s="43" t="s">
        <v>20</v>
      </c>
      <c r="C213" s="19">
        <v>6018079.5666666664</v>
      </c>
      <c r="D213" s="19">
        <v>2766754.9666666668</v>
      </c>
      <c r="E213" s="19">
        <v>34272.9</v>
      </c>
      <c r="F213" s="19">
        <v>30243.5</v>
      </c>
      <c r="G213" s="44">
        <v>7.0433333333333329E-3</v>
      </c>
      <c r="H213" s="44">
        <v>1.2776666666666665E-2</v>
      </c>
      <c r="I213" s="19">
        <v>12460.6</v>
      </c>
      <c r="J213" s="19">
        <v>218000</v>
      </c>
      <c r="K213" s="2"/>
      <c r="L213" s="2"/>
    </row>
    <row r="214" spans="1:12" ht="17.149999999999999" customHeight="1" x14ac:dyDescent="0.4">
      <c r="A214" s="22" t="s">
        <v>662</v>
      </c>
      <c r="B214" s="43" t="s">
        <v>20</v>
      </c>
      <c r="C214" s="19">
        <v>4575455.064516129</v>
      </c>
      <c r="D214" s="19">
        <v>2384795.1935483869</v>
      </c>
      <c r="E214" s="19">
        <v>25705.935483870966</v>
      </c>
      <c r="F214" s="19">
        <v>23027.83870967742</v>
      </c>
      <c r="G214" s="35">
        <v>5.3999999999999994E-3</v>
      </c>
      <c r="H214" s="35">
        <v>9.2258064516129046E-3</v>
      </c>
      <c r="I214" s="19">
        <v>9846.7419354838712</v>
      </c>
      <c r="J214" s="19">
        <v>218000</v>
      </c>
      <c r="K214" s="2"/>
      <c r="L214" s="2"/>
    </row>
    <row r="215" spans="1:12" ht="17.149999999999999" customHeight="1" x14ac:dyDescent="0.4">
      <c r="A215" s="22" t="s">
        <v>537</v>
      </c>
      <c r="B215" s="43" t="s">
        <v>20</v>
      </c>
      <c r="C215" s="19">
        <v>8244351.6206896547</v>
      </c>
      <c r="D215" s="19">
        <v>4229169.7241379311</v>
      </c>
      <c r="E215" s="19">
        <v>33283.34482758621</v>
      </c>
      <c r="F215" s="19">
        <v>29635.793103448275</v>
      </c>
      <c r="G215" s="35">
        <v>4.7068965517241381E-3</v>
      </c>
      <c r="H215" s="35">
        <v>8.1999999999999972E-3</v>
      </c>
      <c r="I215" s="19">
        <v>12992.655172413793</v>
      </c>
      <c r="J215" s="19">
        <v>218000</v>
      </c>
      <c r="K215" s="2"/>
      <c r="L215" s="2"/>
    </row>
    <row r="216" spans="1:12" ht="17.149999999999999" customHeight="1" x14ac:dyDescent="0.4">
      <c r="A216" s="22" t="s">
        <v>464</v>
      </c>
      <c r="B216" s="43" t="s">
        <v>20</v>
      </c>
      <c r="C216" s="19">
        <v>14623514.161290323</v>
      </c>
      <c r="D216" s="19">
        <v>6401897.2903225804</v>
      </c>
      <c r="E216" s="19">
        <v>60502.677419354841</v>
      </c>
      <c r="F216" s="19">
        <v>53282.612903225803</v>
      </c>
      <c r="G216" s="35">
        <v>4.2645161290322574E-3</v>
      </c>
      <c r="H216" s="35">
        <v>8.7064516129032252E-3</v>
      </c>
      <c r="I216" s="19">
        <v>26556.096774193549</v>
      </c>
      <c r="J216" s="19">
        <v>218000</v>
      </c>
      <c r="K216" s="2"/>
      <c r="L216" s="2"/>
    </row>
    <row r="217" spans="1:12" ht="17.149999999999999" customHeight="1" x14ac:dyDescent="0.4">
      <c r="A217" s="22" t="s">
        <v>215</v>
      </c>
      <c r="B217" s="43" t="s">
        <v>20</v>
      </c>
      <c r="C217" s="19">
        <v>21531651.322580647</v>
      </c>
      <c r="D217" s="19">
        <v>8691107.8064516131</v>
      </c>
      <c r="E217" s="19">
        <v>97266.967741935485</v>
      </c>
      <c r="F217" s="19">
        <v>83812.516129032258</v>
      </c>
      <c r="G217" s="35">
        <v>4.5483870967741929E-3</v>
      </c>
      <c r="H217" s="35">
        <v>9.7096774193548389E-3</v>
      </c>
      <c r="I217" s="19">
        <v>44134.483870967742</v>
      </c>
      <c r="J217" s="19">
        <v>218000</v>
      </c>
      <c r="K217" s="2"/>
      <c r="L217" s="2"/>
    </row>
    <row r="218" spans="1:12" ht="17.149999999999999" customHeight="1" x14ac:dyDescent="0.4">
      <c r="A218" s="22" t="s">
        <v>216</v>
      </c>
      <c r="B218" s="43" t="s">
        <v>20</v>
      </c>
      <c r="C218" s="19">
        <v>22278533.533333335</v>
      </c>
      <c r="D218" s="19">
        <v>8984390.333333334</v>
      </c>
      <c r="E218" s="19">
        <v>98932.766666666663</v>
      </c>
      <c r="F218" s="19">
        <v>86166.166666666672</v>
      </c>
      <c r="G218" s="35">
        <v>4.4599999999999996E-3</v>
      </c>
      <c r="H218" s="35">
        <v>9.6200000000000001E-3</v>
      </c>
      <c r="I218" s="19">
        <v>45603.1</v>
      </c>
      <c r="J218" s="19">
        <v>218000</v>
      </c>
      <c r="K218" s="2"/>
      <c r="L218" s="2"/>
    </row>
    <row r="219" spans="1:12" ht="17.149999999999999" customHeight="1" x14ac:dyDescent="0.4">
      <c r="A219" s="22" t="s">
        <v>217</v>
      </c>
      <c r="B219" s="43" t="s">
        <v>20</v>
      </c>
      <c r="C219" s="19">
        <v>23022075.451612905</v>
      </c>
      <c r="D219" s="19">
        <v>8801210.3225806449</v>
      </c>
      <c r="E219" s="19">
        <v>125249.58064516129</v>
      </c>
      <c r="F219" s="19">
        <v>108006.48387096774</v>
      </c>
      <c r="G219" s="44">
        <v>5.4161290322580638E-3</v>
      </c>
      <c r="H219" s="44">
        <v>1.2409677419354842E-2</v>
      </c>
      <c r="I219" s="19">
        <v>55696.387096774197</v>
      </c>
      <c r="J219" s="19">
        <v>218000</v>
      </c>
      <c r="K219" s="2"/>
      <c r="L219" s="2"/>
    </row>
    <row r="220" spans="1:12" ht="17.149999999999999" customHeight="1" x14ac:dyDescent="0.4">
      <c r="A220" s="22" t="s">
        <v>219</v>
      </c>
      <c r="B220" s="43" t="s">
        <v>20</v>
      </c>
      <c r="C220" s="19">
        <v>24309902</v>
      </c>
      <c r="D220" s="19">
        <v>9100166.3666666672</v>
      </c>
      <c r="E220" s="19">
        <v>135769.79999999999</v>
      </c>
      <c r="F220" s="19">
        <v>115941.3</v>
      </c>
      <c r="G220" s="44">
        <v>5.6333333333333339E-3</v>
      </c>
      <c r="H220" s="44">
        <v>1.2813333333333335E-2</v>
      </c>
      <c r="I220" s="19">
        <v>62081.73333333333</v>
      </c>
      <c r="J220" s="19">
        <v>218000</v>
      </c>
      <c r="K220" s="2"/>
      <c r="L220" s="2"/>
    </row>
    <row r="221" spans="1:12" ht="17.149999999999999" customHeight="1" x14ac:dyDescent="0.4">
      <c r="A221" s="22" t="s">
        <v>220</v>
      </c>
      <c r="B221" s="43" t="s">
        <v>20</v>
      </c>
      <c r="C221" s="19">
        <v>21597366.967741936</v>
      </c>
      <c r="D221" s="19">
        <v>9030859.0967741944</v>
      </c>
      <c r="E221" s="19">
        <v>141634.67741935485</v>
      </c>
      <c r="F221" s="19">
        <v>120040.22580645161</v>
      </c>
      <c r="G221" s="44">
        <v>6.5579604046596025E-3</v>
      </c>
      <c r="H221" s="44">
        <v>1.329222663315938E-2</v>
      </c>
      <c r="I221" s="19">
        <v>61983.161290322583</v>
      </c>
      <c r="J221" s="19">
        <v>218000</v>
      </c>
      <c r="K221" s="2"/>
      <c r="L221" s="2"/>
    </row>
    <row r="222" spans="1:12" ht="17.149999999999999" customHeight="1" x14ac:dyDescent="0.4">
      <c r="A222" s="22" t="s">
        <v>221</v>
      </c>
      <c r="B222" s="43" t="s">
        <v>235</v>
      </c>
      <c r="C222" s="19">
        <v>22468377.774193548</v>
      </c>
      <c r="D222" s="19">
        <v>9336984.1290322579</v>
      </c>
      <c r="E222" s="19">
        <v>153469.22580645161</v>
      </c>
      <c r="F222" s="19">
        <v>129476.16129032258</v>
      </c>
      <c r="G222" s="44">
        <v>6.9032258064516128E-3</v>
      </c>
      <c r="H222" s="44">
        <v>1.3877419354838712E-2</v>
      </c>
      <c r="I222" s="19">
        <v>66835.129032258061</v>
      </c>
      <c r="J222" s="19">
        <v>218000</v>
      </c>
      <c r="K222" s="2"/>
      <c r="L222" s="2"/>
    </row>
    <row r="223" spans="1:12" ht="17.149999999999999" customHeight="1" x14ac:dyDescent="0.4">
      <c r="A223" s="37"/>
      <c r="C223" s="36"/>
      <c r="D223" s="36"/>
      <c r="E223" s="36"/>
      <c r="F223" s="36"/>
      <c r="G223" s="36"/>
      <c r="H223" s="36"/>
      <c r="I223" s="36"/>
      <c r="J223" s="36"/>
      <c r="K223" s="31"/>
      <c r="L223" s="31"/>
    </row>
    <row r="224" spans="1:12" ht="17.149999999999999" customHeight="1" x14ac:dyDescent="0.4">
      <c r="A224" s="37"/>
      <c r="C224" s="37"/>
      <c r="D224" s="37"/>
      <c r="E224" s="37"/>
      <c r="F224" s="29"/>
      <c r="H224" s="24"/>
      <c r="I224" s="26"/>
      <c r="J224" s="26"/>
      <c r="K224" s="31"/>
      <c r="L224" s="31"/>
    </row>
    <row r="225" spans="1:13" ht="16.5" customHeight="1" x14ac:dyDescent="0.4">
      <c r="A225" s="18" t="s">
        <v>3</v>
      </c>
      <c r="B225" s="18" t="s">
        <v>4</v>
      </c>
      <c r="C225" s="18" t="s">
        <v>5</v>
      </c>
      <c r="D225" s="18" t="s">
        <v>6</v>
      </c>
      <c r="E225" s="18" t="s">
        <v>7</v>
      </c>
      <c r="F225" s="18" t="s">
        <v>8</v>
      </c>
      <c r="G225" s="18" t="s">
        <v>9</v>
      </c>
      <c r="H225" s="18" t="s">
        <v>10</v>
      </c>
      <c r="I225" s="18" t="s">
        <v>14</v>
      </c>
      <c r="J225" s="18" t="s">
        <v>11</v>
      </c>
      <c r="K225" s="18" t="s">
        <v>12</v>
      </c>
      <c r="L225" s="18" t="s">
        <v>99</v>
      </c>
      <c r="M225" s="18" t="s">
        <v>236</v>
      </c>
    </row>
    <row r="226" spans="1:13" customFormat="1" ht="16.5" x14ac:dyDescent="0.4">
      <c r="A226" s="72">
        <v>20240716</v>
      </c>
      <c r="B226" s="82" t="s">
        <v>21</v>
      </c>
      <c r="C226" s="83">
        <v>546850</v>
      </c>
      <c r="D226" s="83">
        <v>7590</v>
      </c>
      <c r="E226" s="86">
        <v>1.3899999999999999E-2</v>
      </c>
      <c r="F226" s="85">
        <v>706047</v>
      </c>
      <c r="G226" s="85">
        <v>9581</v>
      </c>
      <c r="H226" s="87">
        <v>1.3599999999999999E-2</v>
      </c>
      <c r="I226" s="85">
        <v>2763</v>
      </c>
      <c r="J226" s="88">
        <v>1.2910999999999999</v>
      </c>
      <c r="K226" s="85">
        <v>3023</v>
      </c>
      <c r="L226" s="85">
        <v>26000</v>
      </c>
      <c r="M226" s="86">
        <v>4.3E-3</v>
      </c>
    </row>
    <row r="227" spans="1:13" customFormat="1" ht="16.5" x14ac:dyDescent="0.4">
      <c r="A227" s="72">
        <v>20240716</v>
      </c>
      <c r="B227" s="82" t="s">
        <v>21</v>
      </c>
      <c r="C227" s="83">
        <v>546850</v>
      </c>
      <c r="D227" s="83">
        <v>7590</v>
      </c>
      <c r="E227" s="86">
        <v>1.3899999999999999E-2</v>
      </c>
      <c r="F227" s="85">
        <v>706047</v>
      </c>
      <c r="G227" s="85">
        <v>9581</v>
      </c>
      <c r="H227" s="87">
        <v>1.3599999999999999E-2</v>
      </c>
      <c r="I227" s="85">
        <v>2763</v>
      </c>
      <c r="J227" s="88">
        <v>1.2910999999999999</v>
      </c>
      <c r="K227" s="85">
        <v>3023</v>
      </c>
      <c r="L227" s="85">
        <v>26000</v>
      </c>
      <c r="M227" s="86">
        <v>4.3E-3</v>
      </c>
    </row>
    <row r="228" spans="1:13" customFormat="1" ht="16.5" x14ac:dyDescent="0.4">
      <c r="A228" s="72">
        <v>20240715</v>
      </c>
      <c r="B228" s="82" t="s">
        <v>21</v>
      </c>
      <c r="C228" s="83">
        <v>568963</v>
      </c>
      <c r="D228" s="83">
        <v>8866</v>
      </c>
      <c r="E228" s="86">
        <v>1.5599999999999999E-2</v>
      </c>
      <c r="F228" s="85">
        <v>778474</v>
      </c>
      <c r="G228" s="85">
        <v>10846</v>
      </c>
      <c r="H228" s="87">
        <v>1.3899999999999999E-2</v>
      </c>
      <c r="I228" s="85">
        <v>3311</v>
      </c>
      <c r="J228" s="88">
        <v>1.3682000000000001</v>
      </c>
      <c r="K228" s="85">
        <v>3330</v>
      </c>
      <c r="L228" s="85">
        <v>26000</v>
      </c>
      <c r="M228" s="86">
        <v>4.3E-3</v>
      </c>
    </row>
    <row r="229" spans="1:13" customFormat="1" ht="16.5" x14ac:dyDescent="0.4">
      <c r="A229" s="72">
        <v>20240714</v>
      </c>
      <c r="B229" s="82" t="s">
        <v>21</v>
      </c>
      <c r="C229" s="83">
        <v>665711</v>
      </c>
      <c r="D229" s="83">
        <v>11840</v>
      </c>
      <c r="E229" s="86">
        <v>1.78E-2</v>
      </c>
      <c r="F229" s="85">
        <v>809893</v>
      </c>
      <c r="G229" s="85">
        <v>14472</v>
      </c>
      <c r="H229" s="87">
        <v>1.7899999999999999E-2</v>
      </c>
      <c r="I229" s="85">
        <v>3638</v>
      </c>
      <c r="J229" s="88">
        <v>1.2165999999999999</v>
      </c>
      <c r="K229" s="85">
        <v>4605</v>
      </c>
      <c r="L229" s="85">
        <v>26000</v>
      </c>
      <c r="M229" s="86">
        <v>5.7000000000000002E-3</v>
      </c>
    </row>
    <row r="230" spans="1:13" customFormat="1" ht="16.5" x14ac:dyDescent="0.4">
      <c r="A230" s="72">
        <v>20240713</v>
      </c>
      <c r="B230" s="82" t="s">
        <v>21</v>
      </c>
      <c r="C230" s="83">
        <v>543639</v>
      </c>
      <c r="D230" s="83">
        <v>8052</v>
      </c>
      <c r="E230" s="86">
        <v>1.4800000000000001E-2</v>
      </c>
      <c r="F230" s="85">
        <v>687126</v>
      </c>
      <c r="G230" s="85">
        <v>10376</v>
      </c>
      <c r="H230" s="87">
        <v>1.5100000000000001E-2</v>
      </c>
      <c r="I230" s="85">
        <v>2922</v>
      </c>
      <c r="J230" s="88">
        <v>1.2639</v>
      </c>
      <c r="K230" s="85">
        <v>3037</v>
      </c>
      <c r="L230" s="85">
        <v>26000</v>
      </c>
      <c r="M230" s="86">
        <v>4.4000000000000003E-3</v>
      </c>
    </row>
    <row r="231" spans="1:13" customFormat="1" ht="16.5" x14ac:dyDescent="0.4">
      <c r="A231" s="72">
        <v>20240712</v>
      </c>
      <c r="B231" s="82" t="s">
        <v>21</v>
      </c>
      <c r="C231" s="83">
        <v>547887</v>
      </c>
      <c r="D231" s="83">
        <v>8404</v>
      </c>
      <c r="E231" s="86">
        <v>1.5299999999999999E-2</v>
      </c>
      <c r="F231" s="85">
        <v>702035</v>
      </c>
      <c r="G231" s="85">
        <v>12081</v>
      </c>
      <c r="H231" s="87">
        <v>1.72E-2</v>
      </c>
      <c r="I231" s="85">
        <v>3102</v>
      </c>
      <c r="J231" s="88">
        <v>1.2813000000000001</v>
      </c>
      <c r="K231" s="85">
        <v>3265</v>
      </c>
      <c r="L231" s="85">
        <v>26000</v>
      </c>
      <c r="M231" s="86">
        <v>4.7000000000000002E-3</v>
      </c>
    </row>
    <row r="232" spans="1:13" customFormat="1" ht="16.5" x14ac:dyDescent="0.4">
      <c r="A232" s="72">
        <v>20240711</v>
      </c>
      <c r="B232" s="82" t="s">
        <v>21</v>
      </c>
      <c r="C232" s="83">
        <v>545956</v>
      </c>
      <c r="D232" s="83">
        <v>8401</v>
      </c>
      <c r="E232" s="86">
        <v>1.54E-2</v>
      </c>
      <c r="F232" s="85">
        <v>703830</v>
      </c>
      <c r="G232" s="85">
        <v>11477</v>
      </c>
      <c r="H232" s="87">
        <v>1.6299999999999999E-2</v>
      </c>
      <c r="I232" s="85">
        <v>3142</v>
      </c>
      <c r="J232" s="88">
        <v>1.2891999999999999</v>
      </c>
      <c r="K232" s="85">
        <v>3103</v>
      </c>
      <c r="L232" s="85">
        <v>26000</v>
      </c>
      <c r="M232" s="86">
        <v>4.4000000000000003E-3</v>
      </c>
    </row>
    <row r="233" spans="1:13" customFormat="1" ht="16.5" x14ac:dyDescent="0.4">
      <c r="A233" s="72">
        <v>20240710</v>
      </c>
      <c r="B233" s="82" t="s">
        <v>21</v>
      </c>
      <c r="C233" s="83">
        <v>548929</v>
      </c>
      <c r="D233" s="83">
        <v>8899</v>
      </c>
      <c r="E233" s="86">
        <v>1.6199999999999999E-2</v>
      </c>
      <c r="F233" s="85">
        <v>786088</v>
      </c>
      <c r="G233" s="85">
        <v>12280</v>
      </c>
      <c r="H233" s="87">
        <v>1.5599999999999999E-2</v>
      </c>
      <c r="I233" s="85">
        <v>3412</v>
      </c>
      <c r="J233" s="88">
        <v>1.4319999999999999</v>
      </c>
      <c r="K233" s="85">
        <v>3348</v>
      </c>
      <c r="L233" s="85">
        <v>26000</v>
      </c>
      <c r="M233" s="86">
        <v>4.3E-3</v>
      </c>
    </row>
    <row r="234" spans="1:13" customFormat="1" ht="16.5" x14ac:dyDescent="0.4">
      <c r="A234" s="72">
        <v>20240709</v>
      </c>
      <c r="B234" s="82" t="s">
        <v>21</v>
      </c>
      <c r="C234" s="83">
        <v>1177529</v>
      </c>
      <c r="D234" s="83">
        <v>29656</v>
      </c>
      <c r="E234" s="86">
        <v>2.52E-2</v>
      </c>
      <c r="F234" s="85">
        <v>1789714</v>
      </c>
      <c r="G234" s="85">
        <v>33470</v>
      </c>
      <c r="H234" s="87">
        <v>1.8700000000000001E-2</v>
      </c>
      <c r="I234" s="85">
        <v>18177</v>
      </c>
      <c r="J234" s="88">
        <v>1.5199</v>
      </c>
      <c r="K234" s="85">
        <v>16434</v>
      </c>
      <c r="L234" s="85">
        <v>26000</v>
      </c>
      <c r="M234" s="86">
        <v>9.1999999999999998E-3</v>
      </c>
    </row>
    <row r="235" spans="1:13" customFormat="1" ht="16.5" x14ac:dyDescent="0.4">
      <c r="A235" s="72">
        <v>20240708</v>
      </c>
      <c r="B235" s="82" t="s">
        <v>21</v>
      </c>
      <c r="C235" s="83">
        <v>5035731</v>
      </c>
      <c r="D235" s="83">
        <v>35608</v>
      </c>
      <c r="E235" s="86">
        <v>7.1000000000000004E-3</v>
      </c>
      <c r="F235" s="85">
        <v>5707179</v>
      </c>
      <c r="G235" s="85">
        <v>38609</v>
      </c>
      <c r="H235" s="87">
        <v>6.7999999999999996E-3</v>
      </c>
      <c r="I235" s="85">
        <v>23744</v>
      </c>
      <c r="J235" s="88">
        <v>1.1333</v>
      </c>
      <c r="K235" s="85">
        <v>15768</v>
      </c>
      <c r="L235" s="85">
        <v>26000</v>
      </c>
      <c r="M235" s="86">
        <v>2.8E-3</v>
      </c>
    </row>
    <row r="236" spans="1:13" customFormat="1" ht="16.5" x14ac:dyDescent="0.4">
      <c r="A236" s="72">
        <v>20240707</v>
      </c>
      <c r="B236" s="82" t="s">
        <v>21</v>
      </c>
      <c r="C236" s="83">
        <v>544606</v>
      </c>
      <c r="D236" s="83">
        <v>7867</v>
      </c>
      <c r="E236" s="86">
        <v>1.44E-2</v>
      </c>
      <c r="F236" s="85">
        <v>701684</v>
      </c>
      <c r="G236" s="85">
        <v>10547</v>
      </c>
      <c r="H236" s="87">
        <v>1.4999999999999999E-2</v>
      </c>
      <c r="I236" s="85">
        <v>3049</v>
      </c>
      <c r="J236" s="88">
        <v>1.2884</v>
      </c>
      <c r="K236" s="85">
        <v>2974</v>
      </c>
      <c r="L236" s="85">
        <v>26000</v>
      </c>
      <c r="M236" s="86">
        <v>4.1999999999999997E-3</v>
      </c>
    </row>
    <row r="237" spans="1:13" customFormat="1" ht="16.5" x14ac:dyDescent="0.4">
      <c r="A237" s="72">
        <v>20240706</v>
      </c>
      <c r="B237" s="82" t="s">
        <v>21</v>
      </c>
      <c r="C237" s="83">
        <v>531542</v>
      </c>
      <c r="D237" s="83">
        <v>8353</v>
      </c>
      <c r="E237" s="86">
        <v>1.5699999999999999E-2</v>
      </c>
      <c r="F237" s="85">
        <v>675026</v>
      </c>
      <c r="G237" s="85">
        <v>11277</v>
      </c>
      <c r="H237" s="87">
        <v>1.67E-2</v>
      </c>
      <c r="I237" s="85">
        <v>3101</v>
      </c>
      <c r="J237" s="88">
        <v>1.2699</v>
      </c>
      <c r="K237" s="85">
        <v>3036</v>
      </c>
      <c r="L237" s="85">
        <v>26000</v>
      </c>
      <c r="M237" s="86">
        <v>4.4999999999999997E-3</v>
      </c>
    </row>
    <row r="238" spans="1:13" customFormat="1" ht="16.5" x14ac:dyDescent="0.4">
      <c r="A238" s="72">
        <v>20240705</v>
      </c>
      <c r="B238" s="82" t="s">
        <v>21</v>
      </c>
      <c r="C238" s="83">
        <v>545084</v>
      </c>
      <c r="D238" s="83">
        <v>8902</v>
      </c>
      <c r="E238" s="86">
        <v>1.6299999999999999E-2</v>
      </c>
      <c r="F238" s="85">
        <v>703566</v>
      </c>
      <c r="G238" s="85">
        <v>12059</v>
      </c>
      <c r="H238" s="87">
        <v>1.7100000000000001E-2</v>
      </c>
      <c r="I238" s="85">
        <v>3212</v>
      </c>
      <c r="J238" s="88">
        <v>1.2907</v>
      </c>
      <c r="K238" s="85">
        <v>3300</v>
      </c>
      <c r="L238" s="85">
        <v>26000</v>
      </c>
      <c r="M238" s="86">
        <v>4.7000000000000002E-3</v>
      </c>
    </row>
    <row r="239" spans="1:13" customFormat="1" ht="16.5" x14ac:dyDescent="0.4">
      <c r="A239" s="72">
        <v>20240704</v>
      </c>
      <c r="B239" s="82" t="s">
        <v>21</v>
      </c>
      <c r="C239" s="83">
        <v>537895</v>
      </c>
      <c r="D239" s="83">
        <v>8689</v>
      </c>
      <c r="E239" s="86">
        <v>1.6199999999999999E-2</v>
      </c>
      <c r="F239" s="85">
        <v>695611</v>
      </c>
      <c r="G239" s="85">
        <v>11852</v>
      </c>
      <c r="H239" s="87">
        <v>1.7000000000000001E-2</v>
      </c>
      <c r="I239" s="85">
        <v>3398</v>
      </c>
      <c r="J239" s="88">
        <v>1.2931999999999999</v>
      </c>
      <c r="K239" s="85">
        <v>3272</v>
      </c>
      <c r="L239" s="85">
        <v>26000</v>
      </c>
      <c r="M239" s="86">
        <v>4.7000000000000002E-3</v>
      </c>
    </row>
    <row r="240" spans="1:13" customFormat="1" ht="16.5" x14ac:dyDescent="0.4">
      <c r="A240" s="72">
        <v>20240703</v>
      </c>
      <c r="B240" s="82" t="s">
        <v>21</v>
      </c>
      <c r="C240" s="83">
        <v>537103</v>
      </c>
      <c r="D240" s="83">
        <v>8667</v>
      </c>
      <c r="E240" s="86">
        <v>1.61E-2</v>
      </c>
      <c r="F240" s="85">
        <v>688722</v>
      </c>
      <c r="G240" s="85">
        <v>11644</v>
      </c>
      <c r="H240" s="87">
        <v>1.6899999999999998E-2</v>
      </c>
      <c r="I240" s="85">
        <v>3301</v>
      </c>
      <c r="J240" s="88">
        <v>1.2823</v>
      </c>
      <c r="K240" s="85">
        <v>3190</v>
      </c>
      <c r="L240" s="85">
        <v>26000</v>
      </c>
      <c r="M240" s="86">
        <v>4.5999999999999999E-3</v>
      </c>
    </row>
    <row r="241" spans="1:13" customFormat="1" ht="16.5" x14ac:dyDescent="0.4">
      <c r="A241" s="72">
        <v>20240702</v>
      </c>
      <c r="B241" s="82" t="s">
        <v>21</v>
      </c>
      <c r="C241" s="83">
        <v>548315</v>
      </c>
      <c r="D241" s="83">
        <v>8867</v>
      </c>
      <c r="E241" s="86">
        <v>1.6199999999999999E-2</v>
      </c>
      <c r="F241" s="85">
        <v>718976</v>
      </c>
      <c r="G241" s="85">
        <v>13151</v>
      </c>
      <c r="H241" s="87">
        <v>1.83E-2</v>
      </c>
      <c r="I241" s="85">
        <v>3344</v>
      </c>
      <c r="J241" s="88">
        <v>1.3111999999999999</v>
      </c>
      <c r="K241" s="85">
        <v>3125</v>
      </c>
      <c r="L241" s="85">
        <v>26000</v>
      </c>
      <c r="M241" s="86">
        <v>4.3E-3</v>
      </c>
    </row>
    <row r="242" spans="1:13" customFormat="1" ht="16.5" x14ac:dyDescent="0.4">
      <c r="A242" s="72">
        <v>20240701</v>
      </c>
      <c r="B242" s="82" t="s">
        <v>21</v>
      </c>
      <c r="C242" s="83">
        <v>78789</v>
      </c>
      <c r="D242" s="83">
        <v>7679</v>
      </c>
      <c r="E242" s="86">
        <v>9.7500000000000003E-2</v>
      </c>
      <c r="F242" s="85">
        <v>201842</v>
      </c>
      <c r="G242" s="85">
        <v>13023</v>
      </c>
      <c r="H242" s="87">
        <v>6.4500000000000002E-2</v>
      </c>
      <c r="I242" s="85">
        <v>2686</v>
      </c>
      <c r="J242" s="88">
        <v>2.5617999999999999</v>
      </c>
      <c r="K242" s="85">
        <v>2423</v>
      </c>
      <c r="L242" s="85">
        <v>26000</v>
      </c>
      <c r="M242" s="86">
        <v>1.2E-2</v>
      </c>
    </row>
    <row r="243" spans="1:13" customFormat="1" ht="16.5" x14ac:dyDescent="0.4">
      <c r="A243" s="22" t="s">
        <v>977</v>
      </c>
      <c r="B243" s="52" t="s">
        <v>21</v>
      </c>
      <c r="C243" s="83">
        <v>539721.4</v>
      </c>
      <c r="D243" s="83">
        <v>8230.3333333333339</v>
      </c>
      <c r="E243" s="86">
        <v>1.5380000000000001E-2</v>
      </c>
      <c r="F243" s="85">
        <v>694190.76666666672</v>
      </c>
      <c r="G243" s="85">
        <v>10674.466666666667</v>
      </c>
      <c r="H243" s="87">
        <v>1.5493333333333333E-2</v>
      </c>
      <c r="I243" s="85">
        <v>3386.6333333333332</v>
      </c>
      <c r="J243" s="88">
        <v>1.2875433333333335</v>
      </c>
      <c r="K243" s="85">
        <v>3061.9333333333334</v>
      </c>
      <c r="L243" s="85">
        <v>26000</v>
      </c>
      <c r="M243" s="86">
        <v>4.4333333333333334E-3</v>
      </c>
    </row>
    <row r="244" spans="1:13" customFormat="1" ht="16.5" x14ac:dyDescent="0.4">
      <c r="A244" s="22" t="s">
        <v>894</v>
      </c>
      <c r="B244" s="52" t="s">
        <v>21</v>
      </c>
      <c r="C244" s="83">
        <v>576788.70967741939</v>
      </c>
      <c r="D244" s="83">
        <v>9322.7096774193542</v>
      </c>
      <c r="E244" s="86">
        <v>1.6309677419354841E-2</v>
      </c>
      <c r="F244" s="85">
        <v>848114.51612903224</v>
      </c>
      <c r="G244" s="85">
        <v>11869.064516129032</v>
      </c>
      <c r="H244" s="87">
        <v>1.4616129032258065E-2</v>
      </c>
      <c r="I244" s="85">
        <v>3790.2903225806454</v>
      </c>
      <c r="J244" s="88">
        <v>1.4381516129032259</v>
      </c>
      <c r="K244" s="85">
        <v>3481.9677419354839</v>
      </c>
      <c r="L244" s="85">
        <v>26000</v>
      </c>
      <c r="M244" s="86">
        <v>4.2903225806451614E-3</v>
      </c>
    </row>
    <row r="245" spans="1:13" customFormat="1" ht="16.5" x14ac:dyDescent="0.4">
      <c r="A245" s="22" t="s">
        <v>759</v>
      </c>
      <c r="B245" s="52" t="s">
        <v>21</v>
      </c>
      <c r="C245" s="83">
        <v>573948.3666666667</v>
      </c>
      <c r="D245" s="83">
        <v>9189.7666666666664</v>
      </c>
      <c r="E245" s="86">
        <v>1.6020000000000006E-2</v>
      </c>
      <c r="F245" s="85">
        <v>804823.5</v>
      </c>
      <c r="G245" s="85">
        <v>11861.6</v>
      </c>
      <c r="H245" s="87">
        <v>1.4736666666666669E-2</v>
      </c>
      <c r="I245" s="85">
        <v>3632.4333333333334</v>
      </c>
      <c r="J245" s="88">
        <v>1.4025800000000004</v>
      </c>
      <c r="K245" s="85">
        <v>3462.8</v>
      </c>
      <c r="L245" s="85">
        <v>26000</v>
      </c>
      <c r="M245" s="86">
        <v>4.3033333333333335E-3</v>
      </c>
    </row>
    <row r="246" spans="1:13" customFormat="1" ht="16.5" x14ac:dyDescent="0.4">
      <c r="A246" s="22" t="s">
        <v>662</v>
      </c>
      <c r="B246" s="52" t="s">
        <v>21</v>
      </c>
      <c r="C246" s="19">
        <v>919943.19354838715</v>
      </c>
      <c r="D246" s="19">
        <v>15758.709677419354</v>
      </c>
      <c r="E246" s="35">
        <v>1.628709677419355E-2</v>
      </c>
      <c r="F246" s="19">
        <v>1954656.4838709678</v>
      </c>
      <c r="G246" s="19">
        <v>19529.806451612902</v>
      </c>
      <c r="H246" s="35">
        <v>1.2874193548387095E-2</v>
      </c>
      <c r="I246" s="19">
        <v>7177.2580645161288</v>
      </c>
      <c r="J246" s="21">
        <v>1.7060677419354837</v>
      </c>
      <c r="K246" s="19">
        <v>6437.1935483870966</v>
      </c>
      <c r="L246" s="19">
        <v>26000</v>
      </c>
      <c r="M246" s="35">
        <v>4.0903225806451608E-3</v>
      </c>
    </row>
    <row r="247" spans="1:13" ht="17.149999999999999" customHeight="1" x14ac:dyDescent="0.4">
      <c r="A247" s="22" t="s">
        <v>530</v>
      </c>
      <c r="B247" s="52" t="s">
        <v>21</v>
      </c>
      <c r="C247" s="19">
        <v>550530.3448275862</v>
      </c>
      <c r="D247" s="19">
        <v>8897.7241379310344</v>
      </c>
      <c r="E247" s="35">
        <v>1.7162068965517245E-2</v>
      </c>
      <c r="F247" s="19">
        <v>777903.3448275862</v>
      </c>
      <c r="G247" s="19">
        <v>11417.137931034482</v>
      </c>
      <c r="H247" s="35">
        <v>1.5055172413793103E-2</v>
      </c>
      <c r="I247" s="19">
        <v>3551.7931034482758</v>
      </c>
      <c r="J247" s="21">
        <v>1.4366931034482757</v>
      </c>
      <c r="K247" s="19">
        <v>3592.7931034482758</v>
      </c>
      <c r="L247" s="19">
        <v>26000</v>
      </c>
      <c r="M247" s="35">
        <v>4.7310344827586207E-3</v>
      </c>
    </row>
    <row r="248" spans="1:13" ht="17.149999999999999" customHeight="1" x14ac:dyDescent="0.4">
      <c r="A248" s="22" t="s">
        <v>464</v>
      </c>
      <c r="B248" s="52" t="s">
        <v>21</v>
      </c>
      <c r="C248" s="19">
        <v>1244060.2903225806</v>
      </c>
      <c r="D248" s="19">
        <v>12441.161290322581</v>
      </c>
      <c r="E248" s="35">
        <v>1.0116129032258061E-2</v>
      </c>
      <c r="F248" s="19">
        <v>1594772.9032258065</v>
      </c>
      <c r="G248" s="19">
        <v>15301.806451612903</v>
      </c>
      <c r="H248" s="35">
        <v>9.6645161290322568E-3</v>
      </c>
      <c r="I248" s="19">
        <v>5244.1612903225805</v>
      </c>
      <c r="J248" s="21">
        <v>1.2842451612903225</v>
      </c>
      <c r="K248" s="19">
        <v>6633.6451612903229</v>
      </c>
      <c r="L248" s="19">
        <v>26000</v>
      </c>
      <c r="M248" s="35">
        <v>4.16774193548387E-3</v>
      </c>
    </row>
    <row r="249" spans="1:13" ht="17.149999999999999" customHeight="1" x14ac:dyDescent="0.4">
      <c r="A249" s="22" t="s">
        <v>215</v>
      </c>
      <c r="B249" s="52" t="s">
        <v>21</v>
      </c>
      <c r="C249" s="19">
        <v>1305098.25</v>
      </c>
      <c r="D249" s="19">
        <v>13599</v>
      </c>
      <c r="E249" s="35">
        <v>1.0418750000000001E-2</v>
      </c>
      <c r="F249" s="19">
        <v>1684353.03125</v>
      </c>
      <c r="G249" s="19">
        <v>16564.15625</v>
      </c>
      <c r="H249" s="35">
        <v>9.837499999999999E-3</v>
      </c>
      <c r="I249" s="19">
        <v>5793.9375</v>
      </c>
      <c r="J249" s="21">
        <v>1.2905062499999997</v>
      </c>
      <c r="K249" s="19">
        <v>7193.5625</v>
      </c>
      <c r="L249" s="19">
        <v>26000</v>
      </c>
      <c r="M249" s="35">
        <v>4.26875E-3</v>
      </c>
    </row>
    <row r="250" spans="1:13" ht="17.149999999999999" customHeight="1" x14ac:dyDescent="0.4">
      <c r="A250" s="22" t="s">
        <v>216</v>
      </c>
      <c r="B250" s="52" t="s">
        <v>21</v>
      </c>
      <c r="C250" s="19">
        <v>1356704.2</v>
      </c>
      <c r="D250" s="19">
        <v>14579.866666666667</v>
      </c>
      <c r="E250" s="35">
        <v>1.0729999999999996E-2</v>
      </c>
      <c r="F250" s="19">
        <v>1783066.1666666667</v>
      </c>
      <c r="G250" s="19">
        <v>17693.333333333332</v>
      </c>
      <c r="H250" s="35">
        <v>9.9066666666666643E-3</v>
      </c>
      <c r="I250" s="19">
        <v>6188.3</v>
      </c>
      <c r="J250" s="21">
        <v>1.313543333333334</v>
      </c>
      <c r="K250" s="19">
        <v>7291</v>
      </c>
      <c r="L250" s="19">
        <v>26000</v>
      </c>
      <c r="M250" s="35">
        <v>4.0966666666666677E-3</v>
      </c>
    </row>
    <row r="251" spans="1:13" ht="17.149999999999999" customHeight="1" x14ac:dyDescent="0.4">
      <c r="A251" s="22" t="s">
        <v>217</v>
      </c>
      <c r="B251" s="52" t="s">
        <v>21</v>
      </c>
      <c r="C251" s="19">
        <v>1404864.0967741935</v>
      </c>
      <c r="D251" s="19">
        <v>15711.096774193549</v>
      </c>
      <c r="E251" s="20">
        <v>1.275483870967742E-2</v>
      </c>
      <c r="F251" s="19">
        <v>1863603.8709677418</v>
      </c>
      <c r="G251" s="19">
        <v>19627.967741935485</v>
      </c>
      <c r="H251" s="20">
        <v>1.1022580645161291E-2</v>
      </c>
      <c r="I251" s="19">
        <v>6130.5806451612907</v>
      </c>
      <c r="J251" s="21">
        <v>1.3718290322580649</v>
      </c>
      <c r="K251" s="19">
        <v>7443.5806451612907</v>
      </c>
      <c r="L251" s="53">
        <v>26000</v>
      </c>
      <c r="M251" s="54">
        <v>4.138709677419355E-3</v>
      </c>
    </row>
    <row r="252" spans="1:13" ht="17.149999999999999" customHeight="1" x14ac:dyDescent="0.4">
      <c r="A252" s="22" t="s">
        <v>219</v>
      </c>
      <c r="B252" s="52" t="s">
        <v>21</v>
      </c>
      <c r="C252" s="19">
        <v>1470730.1</v>
      </c>
      <c r="D252" s="19">
        <v>17501.933333333334</v>
      </c>
      <c r="E252" s="20">
        <v>1.1903333333333333E-2</v>
      </c>
      <c r="F252" s="19">
        <v>1978260.2666666666</v>
      </c>
      <c r="G252" s="19">
        <v>21369.566666666666</v>
      </c>
      <c r="H252" s="20">
        <v>1.0903333333333336E-2</v>
      </c>
      <c r="I252" s="19">
        <v>7253.6333333333332</v>
      </c>
      <c r="J252" s="21">
        <v>1.3402000000000001</v>
      </c>
      <c r="K252" s="19">
        <v>8341.5666666666675</v>
      </c>
      <c r="L252" s="53">
        <v>26000</v>
      </c>
      <c r="M252" s="54">
        <v>4.2533333333333338E-3</v>
      </c>
    </row>
    <row r="253" spans="1:13" ht="17.149999999999999" customHeight="1" x14ac:dyDescent="0.4">
      <c r="A253" s="22" t="s">
        <v>220</v>
      </c>
      <c r="B253" s="52" t="s">
        <v>21</v>
      </c>
      <c r="C253" s="19">
        <v>1481058.0967741935</v>
      </c>
      <c r="D253" s="19">
        <v>19148.290322580644</v>
      </c>
      <c r="E253" s="20">
        <v>1.2928790818055296E-2</v>
      </c>
      <c r="F253" s="19">
        <v>1997191.4838709678</v>
      </c>
      <c r="G253" s="19">
        <v>23224.645161290322</v>
      </c>
      <c r="H253" s="20">
        <v>1.1628652209289509E-2</v>
      </c>
      <c r="I253" s="19">
        <v>7632.4516129032254</v>
      </c>
      <c r="J253" s="21">
        <v>1.3483677419354838</v>
      </c>
      <c r="K253" s="19">
        <v>8636.322580645161</v>
      </c>
      <c r="L253" s="53">
        <v>330000</v>
      </c>
      <c r="M253" s="20">
        <v>4.3242336302707404E-3</v>
      </c>
    </row>
    <row r="254" spans="1:13" ht="17.149999999999999" customHeight="1" x14ac:dyDescent="0.4">
      <c r="A254" s="22" t="s">
        <v>221</v>
      </c>
      <c r="B254" s="42" t="s">
        <v>237</v>
      </c>
      <c r="C254" s="19">
        <v>1007503.7741935484</v>
      </c>
      <c r="D254" s="19">
        <v>18719.516129032258</v>
      </c>
      <c r="E254" s="20">
        <v>3.6045161290322578E-2</v>
      </c>
      <c r="F254" s="19">
        <v>1558786.0322580645</v>
      </c>
      <c r="G254" s="19">
        <v>23291.322580645163</v>
      </c>
      <c r="H254" s="20">
        <v>1.8793548387096778E-2</v>
      </c>
      <c r="I254" s="19">
        <v>7364.0645161290322</v>
      </c>
      <c r="J254" s="21">
        <v>2.110874193548387</v>
      </c>
      <c r="K254" s="19">
        <v>7852.6451612903229</v>
      </c>
      <c r="L254" s="19">
        <v>26000</v>
      </c>
      <c r="M254" s="20">
        <v>5.7225806451612904E-3</v>
      </c>
    </row>
    <row r="255" spans="1:13" ht="17.149999999999999" customHeight="1" x14ac:dyDescent="0.4">
      <c r="C255" s="26"/>
      <c r="D255" s="26"/>
      <c r="E255" s="26"/>
      <c r="F255" s="26"/>
      <c r="G255" s="26"/>
      <c r="H255" s="26"/>
      <c r="I255" s="26"/>
      <c r="J255" s="26"/>
      <c r="K255" s="31"/>
      <c r="L255" s="31"/>
    </row>
    <row r="256" spans="1:13" ht="17.149999999999999" customHeight="1" x14ac:dyDescent="0.4">
      <c r="H256" s="24"/>
      <c r="I256" s="24"/>
      <c r="J256" s="23"/>
      <c r="K256" s="31"/>
      <c r="L256" s="31"/>
    </row>
    <row r="257" spans="1:12" ht="16.5" customHeight="1" x14ac:dyDescent="0.4">
      <c r="A257" s="18" t="s">
        <v>3</v>
      </c>
      <c r="B257" s="18" t="s">
        <v>22</v>
      </c>
      <c r="C257" s="18" t="s">
        <v>5</v>
      </c>
      <c r="D257" s="18" t="s">
        <v>6</v>
      </c>
      <c r="E257" s="18" t="s">
        <v>7</v>
      </c>
      <c r="F257" s="18" t="s">
        <v>8</v>
      </c>
      <c r="G257" s="18" t="s">
        <v>9</v>
      </c>
      <c r="H257" s="18" t="s">
        <v>10</v>
      </c>
      <c r="I257" s="18" t="s">
        <v>11</v>
      </c>
      <c r="J257" s="24"/>
      <c r="K257" s="31"/>
      <c r="L257" s="31"/>
    </row>
    <row r="258" spans="1:12" customFormat="1" ht="16.5" x14ac:dyDescent="0.4">
      <c r="A258" s="42">
        <v>20240716</v>
      </c>
      <c r="B258" s="42" t="s">
        <v>127</v>
      </c>
      <c r="C258" s="19">
        <v>649788</v>
      </c>
      <c r="D258" s="19">
        <v>199077</v>
      </c>
      <c r="E258" s="20">
        <v>0.30640000000000001</v>
      </c>
      <c r="F258" s="19">
        <v>42074763</v>
      </c>
      <c r="G258" s="19">
        <v>407825</v>
      </c>
      <c r="H258" s="20">
        <v>9.7000000000000003E-3</v>
      </c>
      <c r="I258" s="21">
        <v>64.751499999999993</v>
      </c>
    </row>
    <row r="259" spans="1:12" customFormat="1" ht="16.5" x14ac:dyDescent="0.4">
      <c r="A259" s="42">
        <v>20240716</v>
      </c>
      <c r="B259" s="42" t="s">
        <v>127</v>
      </c>
      <c r="C259" s="19">
        <v>649788</v>
      </c>
      <c r="D259" s="19">
        <v>199077</v>
      </c>
      <c r="E259" s="20">
        <v>0.30640000000000001</v>
      </c>
      <c r="F259" s="19">
        <v>42074763</v>
      </c>
      <c r="G259" s="19">
        <v>407825</v>
      </c>
      <c r="H259" s="20">
        <v>9.7000000000000003E-3</v>
      </c>
      <c r="I259" s="21">
        <v>64.751499999999993</v>
      </c>
    </row>
    <row r="260" spans="1:12" customFormat="1" ht="16.5" x14ac:dyDescent="0.4">
      <c r="A260" s="42">
        <v>20240715</v>
      </c>
      <c r="B260" s="42" t="s">
        <v>127</v>
      </c>
      <c r="C260" s="19">
        <v>649959</v>
      </c>
      <c r="D260" s="19">
        <v>201273</v>
      </c>
      <c r="E260" s="20">
        <v>0.30969999999999998</v>
      </c>
      <c r="F260" s="19">
        <v>36725983</v>
      </c>
      <c r="G260" s="19">
        <v>398336</v>
      </c>
      <c r="H260" s="20">
        <v>1.0800000000000001E-2</v>
      </c>
      <c r="I260" s="21">
        <v>56.505099999999999</v>
      </c>
    </row>
    <row r="261" spans="1:12" customFormat="1" ht="16.5" x14ac:dyDescent="0.4">
      <c r="A261" s="42">
        <v>20240714</v>
      </c>
      <c r="B261" s="42" t="s">
        <v>127</v>
      </c>
      <c r="C261" s="19">
        <v>648711</v>
      </c>
      <c r="D261" s="19">
        <v>250418</v>
      </c>
      <c r="E261" s="20">
        <v>0.38600000000000001</v>
      </c>
      <c r="F261" s="19">
        <v>44017758</v>
      </c>
      <c r="G261" s="19">
        <v>598014</v>
      </c>
      <c r="H261" s="20">
        <v>1.3599999999999999E-2</v>
      </c>
      <c r="I261" s="21">
        <v>67.854200000000006</v>
      </c>
    </row>
    <row r="262" spans="1:12" customFormat="1" ht="16.5" x14ac:dyDescent="0.4">
      <c r="A262" s="42">
        <v>20240713</v>
      </c>
      <c r="B262" s="42" t="s">
        <v>127</v>
      </c>
      <c r="C262" s="19">
        <v>649226</v>
      </c>
      <c r="D262" s="19">
        <v>183640</v>
      </c>
      <c r="E262" s="20">
        <v>0.28289999999999998</v>
      </c>
      <c r="F262" s="19">
        <v>36984377</v>
      </c>
      <c r="G262" s="19">
        <v>365681</v>
      </c>
      <c r="H262" s="20">
        <v>9.9000000000000008E-3</v>
      </c>
      <c r="I262" s="21">
        <v>56.966900000000003</v>
      </c>
    </row>
    <row r="263" spans="1:12" customFormat="1" ht="16.5" x14ac:dyDescent="0.4">
      <c r="A263" s="42">
        <v>20240712</v>
      </c>
      <c r="B263" s="42" t="s">
        <v>127</v>
      </c>
      <c r="C263" s="19">
        <v>649910</v>
      </c>
      <c r="D263" s="19">
        <v>184018</v>
      </c>
      <c r="E263" s="20">
        <v>0.28310000000000002</v>
      </c>
      <c r="F263" s="19">
        <v>37639276</v>
      </c>
      <c r="G263" s="19">
        <v>369689</v>
      </c>
      <c r="H263" s="20">
        <v>9.7999999999999997E-3</v>
      </c>
      <c r="I263" s="21">
        <v>57.9146</v>
      </c>
    </row>
    <row r="264" spans="1:12" customFormat="1" ht="16.5" x14ac:dyDescent="0.4">
      <c r="A264" s="42">
        <v>20240711</v>
      </c>
      <c r="B264" s="42" t="s">
        <v>127</v>
      </c>
      <c r="C264" s="19">
        <v>650416</v>
      </c>
      <c r="D264" s="19">
        <v>184441</v>
      </c>
      <c r="E264" s="20">
        <v>0.28360000000000002</v>
      </c>
      <c r="F264" s="19">
        <v>39395706</v>
      </c>
      <c r="G264" s="19">
        <v>373289</v>
      </c>
      <c r="H264" s="20">
        <v>9.4999999999999998E-3</v>
      </c>
      <c r="I264" s="21">
        <v>60.57</v>
      </c>
    </row>
    <row r="265" spans="1:12" customFormat="1" ht="16.5" x14ac:dyDescent="0.4">
      <c r="A265" s="42">
        <v>20240710</v>
      </c>
      <c r="B265" s="42" t="s">
        <v>127</v>
      </c>
      <c r="C265" s="19">
        <v>650290</v>
      </c>
      <c r="D265" s="19">
        <v>183834</v>
      </c>
      <c r="E265" s="20">
        <v>0.28270000000000001</v>
      </c>
      <c r="F265" s="19">
        <v>37797888</v>
      </c>
      <c r="G265" s="19">
        <v>365288</v>
      </c>
      <c r="H265" s="20">
        <v>9.7000000000000003E-3</v>
      </c>
      <c r="I265" s="21">
        <v>58.124699999999997</v>
      </c>
    </row>
    <row r="266" spans="1:12" customFormat="1" ht="16.5" x14ac:dyDescent="0.4">
      <c r="A266" s="42">
        <v>20240709</v>
      </c>
      <c r="B266" s="42" t="s">
        <v>127</v>
      </c>
      <c r="C266" s="19">
        <v>650648</v>
      </c>
      <c r="D266" s="19">
        <v>199469</v>
      </c>
      <c r="E266" s="20">
        <v>0.30659999999999998</v>
      </c>
      <c r="F266" s="19">
        <v>40588898</v>
      </c>
      <c r="G266" s="19">
        <v>409981</v>
      </c>
      <c r="H266" s="20">
        <v>1.01E-2</v>
      </c>
      <c r="I266" s="21">
        <v>62.382300000000001</v>
      </c>
    </row>
    <row r="267" spans="1:12" customFormat="1" ht="16.5" x14ac:dyDescent="0.4">
      <c r="A267" s="42">
        <v>20240708</v>
      </c>
      <c r="B267" s="42" t="s">
        <v>127</v>
      </c>
      <c r="C267" s="19">
        <v>656381</v>
      </c>
      <c r="D267" s="19">
        <v>182462</v>
      </c>
      <c r="E267" s="20">
        <v>0.27800000000000002</v>
      </c>
      <c r="F267" s="19">
        <v>40350383</v>
      </c>
      <c r="G267" s="19">
        <v>366602</v>
      </c>
      <c r="H267" s="20">
        <v>9.1000000000000004E-3</v>
      </c>
      <c r="I267" s="21">
        <v>61.473999999999997</v>
      </c>
    </row>
    <row r="268" spans="1:12" customFormat="1" ht="16.5" x14ac:dyDescent="0.4">
      <c r="A268" s="42">
        <v>20240707</v>
      </c>
      <c r="B268" s="42" t="s">
        <v>127</v>
      </c>
      <c r="C268" s="19">
        <v>650391</v>
      </c>
      <c r="D268" s="19">
        <v>174658</v>
      </c>
      <c r="E268" s="20">
        <v>0.26850000000000002</v>
      </c>
      <c r="F268" s="19">
        <v>34413999</v>
      </c>
      <c r="G268" s="19">
        <v>342185</v>
      </c>
      <c r="H268" s="20">
        <v>9.9000000000000008E-3</v>
      </c>
      <c r="I268" s="21">
        <v>52.912799999999997</v>
      </c>
    </row>
    <row r="269" spans="1:12" customFormat="1" ht="16.5" x14ac:dyDescent="0.4">
      <c r="A269" s="42">
        <v>20240706</v>
      </c>
      <c r="B269" s="42" t="s">
        <v>127</v>
      </c>
      <c r="C269" s="19">
        <v>651256</v>
      </c>
      <c r="D269" s="19">
        <v>183937</v>
      </c>
      <c r="E269" s="20">
        <v>0.28239999999999998</v>
      </c>
      <c r="F269" s="19">
        <v>38998653</v>
      </c>
      <c r="G269" s="19">
        <v>369556</v>
      </c>
      <c r="H269" s="20">
        <v>9.4999999999999998E-3</v>
      </c>
      <c r="I269" s="21">
        <v>59.882199999999997</v>
      </c>
    </row>
    <row r="270" spans="1:12" customFormat="1" ht="16.5" x14ac:dyDescent="0.4">
      <c r="A270" s="42">
        <v>20240705</v>
      </c>
      <c r="B270" s="42" t="s">
        <v>127</v>
      </c>
      <c r="C270" s="19">
        <v>651857</v>
      </c>
      <c r="D270" s="19">
        <v>191753</v>
      </c>
      <c r="E270" s="20">
        <v>0.29420000000000002</v>
      </c>
      <c r="F270" s="19">
        <v>43190108</v>
      </c>
      <c r="G270" s="19">
        <v>393864</v>
      </c>
      <c r="H270" s="20">
        <v>9.1000000000000004E-3</v>
      </c>
      <c r="I270" s="21">
        <v>66.257000000000005</v>
      </c>
    </row>
    <row r="271" spans="1:12" customFormat="1" ht="16.5" x14ac:dyDescent="0.4">
      <c r="A271" s="42">
        <v>20240704</v>
      </c>
      <c r="B271" s="42" t="s">
        <v>127</v>
      </c>
      <c r="C271" s="19">
        <v>651966</v>
      </c>
      <c r="D271" s="19">
        <v>180130</v>
      </c>
      <c r="E271" s="20">
        <v>0.27629999999999999</v>
      </c>
      <c r="F271" s="19">
        <v>37739501</v>
      </c>
      <c r="G271" s="19">
        <v>354473</v>
      </c>
      <c r="H271" s="20">
        <v>9.4000000000000004E-3</v>
      </c>
      <c r="I271" s="21">
        <v>57.8857</v>
      </c>
    </row>
    <row r="272" spans="1:12" customFormat="1" ht="16.5" x14ac:dyDescent="0.4">
      <c r="A272" s="42">
        <v>20240703</v>
      </c>
      <c r="B272" s="42" t="s">
        <v>127</v>
      </c>
      <c r="C272" s="19">
        <v>652522</v>
      </c>
      <c r="D272" s="19">
        <v>187510</v>
      </c>
      <c r="E272" s="20">
        <v>0.28739999999999999</v>
      </c>
      <c r="F272" s="19">
        <v>41053448</v>
      </c>
      <c r="G272" s="19">
        <v>374519</v>
      </c>
      <c r="H272" s="20">
        <v>9.1000000000000004E-3</v>
      </c>
      <c r="I272" s="21">
        <v>62.914999999999999</v>
      </c>
    </row>
    <row r="273" spans="1:12" customFormat="1" ht="16.5" x14ac:dyDescent="0.4">
      <c r="A273" s="42">
        <v>20240702</v>
      </c>
      <c r="B273" s="42" t="s">
        <v>127</v>
      </c>
      <c r="C273" s="19">
        <v>652923</v>
      </c>
      <c r="D273" s="19">
        <v>193470</v>
      </c>
      <c r="E273" s="20">
        <v>0.29630000000000001</v>
      </c>
      <c r="F273" s="19">
        <v>43073183</v>
      </c>
      <c r="G273" s="19">
        <v>397525</v>
      </c>
      <c r="H273" s="20">
        <v>9.1999999999999998E-3</v>
      </c>
      <c r="I273" s="21">
        <v>65.969800000000006</v>
      </c>
    </row>
    <row r="274" spans="1:12" customFormat="1" ht="16.5" x14ac:dyDescent="0.4">
      <c r="A274" s="42">
        <v>20240701</v>
      </c>
      <c r="B274" s="42" t="s">
        <v>127</v>
      </c>
      <c r="C274" s="19">
        <v>652967</v>
      </c>
      <c r="D274" s="19">
        <v>205434</v>
      </c>
      <c r="E274" s="20">
        <v>0.31459999999999999</v>
      </c>
      <c r="F274" s="19">
        <v>39445125</v>
      </c>
      <c r="G274" s="19">
        <v>430733</v>
      </c>
      <c r="H274" s="20">
        <v>1.09E-2</v>
      </c>
      <c r="I274" s="21">
        <v>60.409100000000002</v>
      </c>
    </row>
    <row r="275" spans="1:12" ht="17.149999999999999" customHeight="1" x14ac:dyDescent="0.4">
      <c r="A275" s="22" t="s">
        <v>971</v>
      </c>
      <c r="B275" s="42" t="s">
        <v>127</v>
      </c>
      <c r="C275" s="19">
        <v>659797.69999999995</v>
      </c>
      <c r="D275" s="19">
        <v>172096.06666666668</v>
      </c>
      <c r="E275" s="20">
        <v>0.26093666666666665</v>
      </c>
      <c r="F275" s="19">
        <v>34833633</v>
      </c>
      <c r="G275" s="19">
        <v>329979.56666666665</v>
      </c>
      <c r="H275" s="20">
        <v>9.4666666666666632E-3</v>
      </c>
      <c r="I275" s="21">
        <v>52.814949999999989</v>
      </c>
      <c r="J275" s="2"/>
      <c r="K275" s="31"/>
      <c r="L275" s="31"/>
    </row>
    <row r="276" spans="1:12" ht="17.149999999999999" customHeight="1" x14ac:dyDescent="0.4">
      <c r="A276" s="22" t="s">
        <v>895</v>
      </c>
      <c r="B276" s="42" t="s">
        <v>127</v>
      </c>
      <c r="C276" s="19">
        <v>672101.29032258061</v>
      </c>
      <c r="D276" s="19">
        <v>171212.38709677418</v>
      </c>
      <c r="E276" s="20">
        <v>0.25474193548387103</v>
      </c>
      <c r="F276" s="19">
        <v>33545165.806451611</v>
      </c>
      <c r="G276" s="19">
        <v>324131.09677419357</v>
      </c>
      <c r="H276" s="20">
        <v>9.6387096774193555E-3</v>
      </c>
      <c r="I276" s="21">
        <v>49.91217741935484</v>
      </c>
      <c r="J276" s="2"/>
      <c r="K276" s="31"/>
      <c r="L276" s="31"/>
    </row>
    <row r="277" spans="1:12" ht="17.149999999999999" customHeight="1" x14ac:dyDescent="0.4">
      <c r="A277" s="22" t="s">
        <v>755</v>
      </c>
      <c r="B277" s="42" t="s">
        <v>127</v>
      </c>
      <c r="C277" s="19">
        <v>681066.2</v>
      </c>
      <c r="D277" s="19">
        <v>174515.53333333333</v>
      </c>
      <c r="E277" s="20">
        <v>0.25623666666666672</v>
      </c>
      <c r="F277" s="19">
        <v>36414095.399999999</v>
      </c>
      <c r="G277" s="19">
        <v>330735.23333333334</v>
      </c>
      <c r="H277" s="20">
        <v>9.0733333333333343E-3</v>
      </c>
      <c r="I277" s="21">
        <v>53.464353333333335</v>
      </c>
      <c r="J277" s="2"/>
      <c r="K277" s="31"/>
      <c r="L277" s="31"/>
    </row>
    <row r="278" spans="1:12" ht="17.149999999999999" customHeight="1" x14ac:dyDescent="0.4">
      <c r="A278" s="22" t="s">
        <v>663</v>
      </c>
      <c r="B278" s="42" t="s">
        <v>127</v>
      </c>
      <c r="C278" s="53">
        <v>688515.12903225806</v>
      </c>
      <c r="D278" s="53">
        <v>171757.5806451613</v>
      </c>
      <c r="E278" s="89">
        <v>0.24949354838709681</v>
      </c>
      <c r="F278" s="53">
        <v>34837768</v>
      </c>
      <c r="G278" s="53">
        <v>317376.45161290321</v>
      </c>
      <c r="H278" s="89">
        <v>9.1161290322580666E-3</v>
      </c>
      <c r="I278" s="56">
        <v>50.597448387096776</v>
      </c>
      <c r="J278" s="2"/>
      <c r="K278" s="31"/>
      <c r="L278" s="31"/>
    </row>
    <row r="279" spans="1:12" ht="17.149999999999999" customHeight="1" x14ac:dyDescent="0.4">
      <c r="A279" s="22" t="s">
        <v>532</v>
      </c>
      <c r="B279" s="42" t="s">
        <v>538</v>
      </c>
      <c r="C279" s="53">
        <v>697865.68965517241</v>
      </c>
      <c r="D279" s="53">
        <v>171273.37931034484</v>
      </c>
      <c r="E279" s="89">
        <v>0.24533103448275859</v>
      </c>
      <c r="F279" s="53">
        <v>34586286.965517238</v>
      </c>
      <c r="G279" s="53">
        <v>312302.20689655171</v>
      </c>
      <c r="H279" s="89">
        <v>8.9965517241379286E-3</v>
      </c>
      <c r="I279" s="56">
        <v>49.534048275862069</v>
      </c>
      <c r="J279" s="2"/>
      <c r="K279" s="31"/>
      <c r="L279" s="31"/>
    </row>
    <row r="280" spans="1:12" ht="17.149999999999999" customHeight="1" x14ac:dyDescent="0.4">
      <c r="A280" s="22" t="s">
        <v>465</v>
      </c>
      <c r="B280" s="42" t="s">
        <v>238</v>
      </c>
      <c r="C280" s="53">
        <v>719446.38709677418</v>
      </c>
      <c r="D280" s="53">
        <v>190364.93548387097</v>
      </c>
      <c r="E280" s="89">
        <v>0.26454838709677414</v>
      </c>
      <c r="F280" s="53">
        <v>40552352.741935484</v>
      </c>
      <c r="G280" s="53">
        <v>361982.54838709679</v>
      </c>
      <c r="H280" s="89">
        <v>8.9483870967741932E-3</v>
      </c>
      <c r="I280" s="56">
        <v>56.372964516129045</v>
      </c>
      <c r="J280" s="2"/>
      <c r="K280" s="31"/>
      <c r="L280" s="31"/>
    </row>
    <row r="281" spans="1:12" ht="17.149999999999999" customHeight="1" x14ac:dyDescent="0.4">
      <c r="A281" s="22" t="s">
        <v>215</v>
      </c>
      <c r="B281" s="42" t="s">
        <v>238</v>
      </c>
      <c r="C281" s="53">
        <v>740837.3125</v>
      </c>
      <c r="D281" s="53">
        <v>202507.09375</v>
      </c>
      <c r="E281" s="89">
        <v>0.27335625000000002</v>
      </c>
      <c r="F281" s="53">
        <v>40893309.21875</v>
      </c>
      <c r="G281" s="53">
        <v>387378.5625</v>
      </c>
      <c r="H281" s="89">
        <v>9.5031249999999977E-3</v>
      </c>
      <c r="I281" s="56">
        <v>55.217993749999998</v>
      </c>
      <c r="J281" s="2"/>
      <c r="K281" s="31"/>
      <c r="L281" s="31"/>
    </row>
    <row r="282" spans="1:12" ht="17.149999999999999" customHeight="1" x14ac:dyDescent="0.4">
      <c r="A282" s="22" t="s">
        <v>216</v>
      </c>
      <c r="B282" s="42" t="s">
        <v>238</v>
      </c>
      <c r="C282" s="53">
        <v>767855.33333333337</v>
      </c>
      <c r="D282" s="53">
        <v>210004.13333333333</v>
      </c>
      <c r="E282" s="89">
        <v>0.27338666666666672</v>
      </c>
      <c r="F282" s="53">
        <v>40971512.5</v>
      </c>
      <c r="G282" s="53">
        <v>403019.03333333333</v>
      </c>
      <c r="H282" s="89">
        <v>9.8199999999999971E-3</v>
      </c>
      <c r="I282" s="91">
        <v>53.349680000000006</v>
      </c>
      <c r="J282" s="2"/>
      <c r="K282" s="31"/>
      <c r="L282" s="31"/>
    </row>
    <row r="283" spans="1:12" ht="17.149999999999999" customHeight="1" x14ac:dyDescent="0.4">
      <c r="A283" s="22" t="s">
        <v>217</v>
      </c>
      <c r="B283" s="42" t="s">
        <v>238</v>
      </c>
      <c r="C283" s="53">
        <v>793529</v>
      </c>
      <c r="D283" s="53">
        <v>245371.09677419355</v>
      </c>
      <c r="E283" s="20">
        <v>0.30919677419354835</v>
      </c>
      <c r="F283" s="53">
        <v>47287423.032258064</v>
      </c>
      <c r="G283" s="53">
        <v>496412.12903225806</v>
      </c>
      <c r="H283" s="20">
        <v>1.0519354838709678E-2</v>
      </c>
      <c r="I283" s="21">
        <v>59.575287096774197</v>
      </c>
      <c r="J283" s="2"/>
      <c r="K283" s="31"/>
      <c r="L283" s="31"/>
    </row>
    <row r="284" spans="1:12" ht="17.149999999999999" customHeight="1" x14ac:dyDescent="0.4">
      <c r="A284" s="22" t="s">
        <v>219</v>
      </c>
      <c r="B284" s="42" t="s">
        <v>238</v>
      </c>
      <c r="C284" s="53">
        <v>815748.56666666665</v>
      </c>
      <c r="D284" s="53">
        <v>230068.1</v>
      </c>
      <c r="E284" s="20">
        <v>0.28199999999999997</v>
      </c>
      <c r="F284" s="53">
        <v>41204577.399999999</v>
      </c>
      <c r="G284" s="53">
        <v>437252.46666666667</v>
      </c>
      <c r="H284" s="20">
        <v>1.0619999999999997E-2</v>
      </c>
      <c r="I284" s="21">
        <v>50.52041333333333</v>
      </c>
      <c r="J284" s="2"/>
      <c r="K284" s="31"/>
      <c r="L284" s="31"/>
    </row>
    <row r="285" spans="1:12" ht="17.149999999999999" customHeight="1" x14ac:dyDescent="0.4">
      <c r="A285" s="22" t="s">
        <v>220</v>
      </c>
      <c r="B285" s="42" t="s">
        <v>238</v>
      </c>
      <c r="C285" s="53">
        <v>822376.3548387097</v>
      </c>
      <c r="D285" s="53">
        <v>249375.5806451613</v>
      </c>
      <c r="E285" s="20">
        <v>0.30323778058291889</v>
      </c>
      <c r="F285" s="53">
        <v>43670103.709677421</v>
      </c>
      <c r="G285" s="53">
        <v>494824.45161290321</v>
      </c>
      <c r="H285" s="20">
        <v>1.1330965799910584E-2</v>
      </c>
      <c r="I285" s="21">
        <v>53.102383870967749</v>
      </c>
      <c r="J285" s="2"/>
      <c r="K285" s="31"/>
      <c r="L285" s="31"/>
    </row>
    <row r="286" spans="1:12" ht="17.149999999999999" customHeight="1" x14ac:dyDescent="0.4">
      <c r="A286" s="22" t="s">
        <v>221</v>
      </c>
      <c r="B286" s="42" t="s">
        <v>238</v>
      </c>
      <c r="C286" s="19">
        <v>831607.12903225806</v>
      </c>
      <c r="D286" s="19">
        <v>255994.96774193548</v>
      </c>
      <c r="E286" s="20">
        <v>0.3078032258064517</v>
      </c>
      <c r="F286" s="19">
        <v>41612487.419354841</v>
      </c>
      <c r="G286" s="19">
        <v>511514.83870967739</v>
      </c>
      <c r="H286" s="20">
        <v>1.2261290322580647E-2</v>
      </c>
      <c r="I286" s="21">
        <v>50.037035483870966</v>
      </c>
      <c r="J286" s="2"/>
      <c r="K286" s="31"/>
      <c r="L286" s="31"/>
    </row>
    <row r="287" spans="1:12" ht="17.149999999999999" customHeight="1" x14ac:dyDescent="0.4">
      <c r="C287" s="28"/>
      <c r="D287" s="28"/>
      <c r="E287" s="28"/>
      <c r="F287" s="28"/>
      <c r="G287" s="28"/>
      <c r="H287" s="28"/>
      <c r="I287" s="28"/>
      <c r="J287" s="2"/>
    </row>
    <row r="288" spans="1:12" ht="17.149999999999999" customHeight="1" x14ac:dyDescent="0.4">
      <c r="H288" s="24"/>
      <c r="I288" s="24"/>
      <c r="J288" s="2"/>
    </row>
    <row r="289" spans="1:10" ht="16.5" customHeight="1" x14ac:dyDescent="0.4">
      <c r="A289" s="18" t="s">
        <v>3</v>
      </c>
      <c r="B289" s="18" t="s">
        <v>22</v>
      </c>
      <c r="C289" s="18" t="s">
        <v>5</v>
      </c>
      <c r="D289" s="18" t="s">
        <v>6</v>
      </c>
      <c r="E289" s="18" t="s">
        <v>7</v>
      </c>
      <c r="F289" s="18" t="s">
        <v>8</v>
      </c>
      <c r="G289" s="18" t="s">
        <v>9</v>
      </c>
      <c r="H289" s="18" t="s">
        <v>10</v>
      </c>
      <c r="I289" s="18" t="s">
        <v>11</v>
      </c>
      <c r="J289" s="2"/>
    </row>
    <row r="290" spans="1:10" customFormat="1" ht="16.5" x14ac:dyDescent="0.4">
      <c r="A290" s="42">
        <v>20240716</v>
      </c>
      <c r="B290" s="42" t="s">
        <v>23</v>
      </c>
      <c r="C290" s="19">
        <v>6975715</v>
      </c>
      <c r="D290" s="19">
        <v>88291</v>
      </c>
      <c r="E290" s="20">
        <v>1.2699999999999999E-2</v>
      </c>
      <c r="F290" s="19">
        <v>31478379</v>
      </c>
      <c r="G290" s="19">
        <v>123117</v>
      </c>
      <c r="H290" s="20">
        <v>3.8999999999999998E-3</v>
      </c>
      <c r="I290" s="21">
        <v>4.5125999999999999</v>
      </c>
    </row>
    <row r="291" spans="1:10" customFormat="1" ht="16.5" x14ac:dyDescent="0.4">
      <c r="A291" s="42">
        <v>20240716</v>
      </c>
      <c r="B291" s="42" t="s">
        <v>23</v>
      </c>
      <c r="C291" s="19">
        <v>6975715</v>
      </c>
      <c r="D291" s="19">
        <v>88291</v>
      </c>
      <c r="E291" s="20">
        <v>1.2699999999999999E-2</v>
      </c>
      <c r="F291" s="19">
        <v>31478379</v>
      </c>
      <c r="G291" s="19">
        <v>123117</v>
      </c>
      <c r="H291" s="20">
        <v>3.8999999999999998E-3</v>
      </c>
      <c r="I291" s="21">
        <v>4.5125999999999999</v>
      </c>
    </row>
    <row r="292" spans="1:10" customFormat="1" ht="16.5" x14ac:dyDescent="0.4">
      <c r="A292" s="42">
        <v>20240715</v>
      </c>
      <c r="B292" s="42" t="s">
        <v>23</v>
      </c>
      <c r="C292" s="19">
        <v>7063500</v>
      </c>
      <c r="D292" s="19">
        <v>91132</v>
      </c>
      <c r="E292" s="20">
        <v>1.29E-2</v>
      </c>
      <c r="F292" s="19">
        <v>31379713</v>
      </c>
      <c r="G292" s="19">
        <v>123712</v>
      </c>
      <c r="H292" s="20">
        <v>3.8999999999999998E-3</v>
      </c>
      <c r="I292" s="21">
        <v>4.4424999999999999</v>
      </c>
    </row>
    <row r="293" spans="1:10" customFormat="1" ht="16.5" x14ac:dyDescent="0.4">
      <c r="A293" s="42">
        <v>20240714</v>
      </c>
      <c r="B293" s="42" t="s">
        <v>23</v>
      </c>
      <c r="C293" s="19">
        <v>7214674</v>
      </c>
      <c r="D293" s="19">
        <v>93451</v>
      </c>
      <c r="E293" s="20">
        <v>1.2999999999999999E-2</v>
      </c>
      <c r="F293" s="19">
        <v>31346669</v>
      </c>
      <c r="G293" s="19">
        <v>139443</v>
      </c>
      <c r="H293" s="20">
        <v>4.4000000000000003E-3</v>
      </c>
      <c r="I293" s="21">
        <v>4.3448000000000002</v>
      </c>
    </row>
    <row r="294" spans="1:10" customFormat="1" ht="16.5" x14ac:dyDescent="0.4">
      <c r="A294" s="42">
        <v>20240713</v>
      </c>
      <c r="B294" s="42" t="s">
        <v>23</v>
      </c>
      <c r="C294" s="19">
        <v>8101433</v>
      </c>
      <c r="D294" s="19">
        <v>86923</v>
      </c>
      <c r="E294" s="20">
        <v>1.0699999999999999E-2</v>
      </c>
      <c r="F294" s="19">
        <v>31691583</v>
      </c>
      <c r="G294" s="19">
        <v>118612</v>
      </c>
      <c r="H294" s="20">
        <v>3.7000000000000002E-3</v>
      </c>
      <c r="I294" s="21">
        <v>3.9117999999999999</v>
      </c>
    </row>
    <row r="295" spans="1:10" customFormat="1" ht="16.5" x14ac:dyDescent="0.4">
      <c r="A295" s="42">
        <v>20240712</v>
      </c>
      <c r="B295" s="42" t="s">
        <v>23</v>
      </c>
      <c r="C295" s="19">
        <v>8200069</v>
      </c>
      <c r="D295" s="19">
        <v>106365</v>
      </c>
      <c r="E295" s="20">
        <v>1.2999999999999999E-2</v>
      </c>
      <c r="F295" s="19">
        <v>32804253</v>
      </c>
      <c r="G295" s="19">
        <v>146677</v>
      </c>
      <c r="H295" s="20">
        <v>4.4999999999999997E-3</v>
      </c>
      <c r="I295" s="21">
        <v>4.0004999999999997</v>
      </c>
    </row>
    <row r="296" spans="1:10" customFormat="1" ht="16.5" x14ac:dyDescent="0.4">
      <c r="A296" s="42">
        <v>20240711</v>
      </c>
      <c r="B296" s="42" t="s">
        <v>23</v>
      </c>
      <c r="C296" s="19">
        <v>8745921</v>
      </c>
      <c r="D296" s="19">
        <v>95209</v>
      </c>
      <c r="E296" s="20">
        <v>1.09E-2</v>
      </c>
      <c r="F296" s="19">
        <v>34211466</v>
      </c>
      <c r="G296" s="19">
        <v>131841</v>
      </c>
      <c r="H296" s="20">
        <v>3.8999999999999998E-3</v>
      </c>
      <c r="I296" s="21">
        <v>3.9117000000000002</v>
      </c>
    </row>
    <row r="297" spans="1:10" customFormat="1" ht="16.5" x14ac:dyDescent="0.4">
      <c r="A297" s="42">
        <v>20240710</v>
      </c>
      <c r="B297" s="42" t="s">
        <v>23</v>
      </c>
      <c r="C297" s="19">
        <v>8452292</v>
      </c>
      <c r="D297" s="19">
        <v>97975</v>
      </c>
      <c r="E297" s="20">
        <v>1.1599999999999999E-2</v>
      </c>
      <c r="F297" s="19">
        <v>33072895</v>
      </c>
      <c r="G297" s="19">
        <v>133499</v>
      </c>
      <c r="H297" s="20">
        <v>4.0000000000000001E-3</v>
      </c>
      <c r="I297" s="21">
        <v>3.9129</v>
      </c>
    </row>
    <row r="298" spans="1:10" customFormat="1" ht="16.5" x14ac:dyDescent="0.4">
      <c r="A298" s="42">
        <v>20240709</v>
      </c>
      <c r="B298" s="42" t="s">
        <v>23</v>
      </c>
      <c r="C298" s="19">
        <v>8302007</v>
      </c>
      <c r="D298" s="19">
        <v>112184</v>
      </c>
      <c r="E298" s="20">
        <v>1.35E-2</v>
      </c>
      <c r="F298" s="19">
        <v>36444198</v>
      </c>
      <c r="G298" s="19">
        <v>153305</v>
      </c>
      <c r="H298" s="20">
        <v>4.1999999999999997E-3</v>
      </c>
      <c r="I298" s="21">
        <v>4.3898000000000001</v>
      </c>
    </row>
    <row r="299" spans="1:10" customFormat="1" ht="16.5" x14ac:dyDescent="0.4">
      <c r="A299" s="42">
        <v>20240708</v>
      </c>
      <c r="B299" s="42" t="s">
        <v>23</v>
      </c>
      <c r="C299" s="19">
        <v>9187621</v>
      </c>
      <c r="D299" s="19">
        <v>113638</v>
      </c>
      <c r="E299" s="20">
        <v>1.24E-2</v>
      </c>
      <c r="F299" s="19">
        <v>40622976</v>
      </c>
      <c r="G299" s="19">
        <v>151072</v>
      </c>
      <c r="H299" s="20">
        <v>3.7000000000000002E-3</v>
      </c>
      <c r="I299" s="21">
        <v>4.4215</v>
      </c>
    </row>
    <row r="300" spans="1:10" customFormat="1" ht="16.5" x14ac:dyDescent="0.4">
      <c r="A300" s="42">
        <v>20240707</v>
      </c>
      <c r="B300" s="42" t="s">
        <v>23</v>
      </c>
      <c r="C300" s="19">
        <v>8790624</v>
      </c>
      <c r="D300" s="19">
        <v>95859</v>
      </c>
      <c r="E300" s="20">
        <v>1.09E-2</v>
      </c>
      <c r="F300" s="19">
        <v>35746109</v>
      </c>
      <c r="G300" s="19">
        <v>128661</v>
      </c>
      <c r="H300" s="20">
        <v>3.5999999999999999E-3</v>
      </c>
      <c r="I300" s="21">
        <v>4.0663999999999998</v>
      </c>
    </row>
    <row r="301" spans="1:10" customFormat="1" ht="16.5" x14ac:dyDescent="0.4">
      <c r="A301" s="42">
        <v>20240706</v>
      </c>
      <c r="B301" s="42" t="s">
        <v>23</v>
      </c>
      <c r="C301" s="19">
        <v>8942271</v>
      </c>
      <c r="D301" s="19">
        <v>100266</v>
      </c>
      <c r="E301" s="20">
        <v>1.12E-2</v>
      </c>
      <c r="F301" s="19">
        <v>36192874</v>
      </c>
      <c r="G301" s="19">
        <v>135720</v>
      </c>
      <c r="H301" s="20">
        <v>3.7000000000000002E-3</v>
      </c>
      <c r="I301" s="21">
        <v>4.0473999999999997</v>
      </c>
    </row>
    <row r="302" spans="1:10" customFormat="1" ht="16.5" x14ac:dyDescent="0.4">
      <c r="A302" s="42">
        <v>20240705</v>
      </c>
      <c r="B302" s="42" t="s">
        <v>23</v>
      </c>
      <c r="C302" s="19">
        <v>8887687</v>
      </c>
      <c r="D302" s="19">
        <v>98714</v>
      </c>
      <c r="E302" s="20">
        <v>1.11E-2</v>
      </c>
      <c r="F302" s="19">
        <v>36535031</v>
      </c>
      <c r="G302" s="19">
        <v>135955</v>
      </c>
      <c r="H302" s="20">
        <v>3.7000000000000002E-3</v>
      </c>
      <c r="I302" s="21">
        <v>4.1106999999999996</v>
      </c>
    </row>
    <row r="303" spans="1:10" customFormat="1" ht="16.5" x14ac:dyDescent="0.4">
      <c r="A303" s="42">
        <v>20240704</v>
      </c>
      <c r="B303" s="42" t="s">
        <v>23</v>
      </c>
      <c r="C303" s="19">
        <v>8263711</v>
      </c>
      <c r="D303" s="19">
        <v>98585</v>
      </c>
      <c r="E303" s="20">
        <v>1.1900000000000001E-2</v>
      </c>
      <c r="F303" s="19">
        <v>35685217</v>
      </c>
      <c r="G303" s="19">
        <v>133520</v>
      </c>
      <c r="H303" s="20">
        <v>3.7000000000000002E-3</v>
      </c>
      <c r="I303" s="21">
        <v>4.3182999999999998</v>
      </c>
    </row>
    <row r="304" spans="1:10" customFormat="1" ht="16.5" x14ac:dyDescent="0.4">
      <c r="A304" s="42">
        <v>20240703</v>
      </c>
      <c r="B304" s="42" t="s">
        <v>23</v>
      </c>
      <c r="C304" s="19">
        <v>7949410</v>
      </c>
      <c r="D304" s="19">
        <v>99924</v>
      </c>
      <c r="E304" s="20">
        <v>1.26E-2</v>
      </c>
      <c r="F304" s="19">
        <v>35063141</v>
      </c>
      <c r="G304" s="19">
        <v>135978</v>
      </c>
      <c r="H304" s="20">
        <v>3.8999999999999998E-3</v>
      </c>
      <c r="I304" s="21">
        <v>4.4108000000000001</v>
      </c>
    </row>
    <row r="305" spans="1:12" customFormat="1" ht="16.5" x14ac:dyDescent="0.4">
      <c r="A305" s="42">
        <v>20240702</v>
      </c>
      <c r="B305" s="42" t="s">
        <v>23</v>
      </c>
      <c r="C305" s="19">
        <v>7960256</v>
      </c>
      <c r="D305" s="19">
        <v>92449</v>
      </c>
      <c r="E305" s="20">
        <v>1.1599999999999999E-2</v>
      </c>
      <c r="F305" s="19">
        <v>34375644</v>
      </c>
      <c r="G305" s="19">
        <v>127276</v>
      </c>
      <c r="H305" s="20">
        <v>3.7000000000000002E-3</v>
      </c>
      <c r="I305" s="21">
        <v>4.3183999999999996</v>
      </c>
    </row>
    <row r="306" spans="1:12" customFormat="1" ht="16.5" x14ac:dyDescent="0.4">
      <c r="A306" s="42">
        <v>20240701</v>
      </c>
      <c r="B306" s="42" t="s">
        <v>23</v>
      </c>
      <c r="C306" s="19">
        <v>7539942</v>
      </c>
      <c r="D306" s="19">
        <v>89974</v>
      </c>
      <c r="E306" s="20">
        <v>1.1900000000000001E-2</v>
      </c>
      <c r="F306" s="19">
        <v>33804852</v>
      </c>
      <c r="G306" s="19">
        <v>125757</v>
      </c>
      <c r="H306" s="20">
        <v>3.7000000000000002E-3</v>
      </c>
      <c r="I306" s="21">
        <v>4.4833999999999996</v>
      </c>
    </row>
    <row r="307" spans="1:12" ht="17.149999999999999" customHeight="1" x14ac:dyDescent="0.4">
      <c r="A307" s="22" t="s">
        <v>971</v>
      </c>
      <c r="B307" s="42" t="s">
        <v>23</v>
      </c>
      <c r="C307" s="19">
        <v>8565156.4333333336</v>
      </c>
      <c r="D307" s="19">
        <v>86859.03333333334</v>
      </c>
      <c r="E307" s="20">
        <v>1.0209999999999997E-2</v>
      </c>
      <c r="F307" s="19">
        <v>35870338.633333333</v>
      </c>
      <c r="G307" s="19">
        <v>117397.2</v>
      </c>
      <c r="H307" s="20">
        <v>3.2833333333333325E-3</v>
      </c>
      <c r="I307" s="21">
        <v>4.1957166666666668</v>
      </c>
      <c r="J307" s="2"/>
      <c r="K307" s="31"/>
      <c r="L307" s="31"/>
    </row>
    <row r="308" spans="1:12" ht="17.149999999999999" customHeight="1" x14ac:dyDescent="0.4">
      <c r="A308" s="22" t="s">
        <v>894</v>
      </c>
      <c r="B308" s="42" t="s">
        <v>23</v>
      </c>
      <c r="C308" s="19">
        <v>8676505.2580645159</v>
      </c>
      <c r="D308" s="19">
        <v>86269.354838709682</v>
      </c>
      <c r="E308" s="20">
        <v>9.970967741935486E-3</v>
      </c>
      <c r="F308" s="19">
        <v>34181650.258064516</v>
      </c>
      <c r="G308" s="19">
        <v>116953.90322580645</v>
      </c>
      <c r="H308" s="20">
        <v>3.4580645161290326E-3</v>
      </c>
      <c r="I308" s="21">
        <v>3.9352935483870968</v>
      </c>
      <c r="J308" s="2"/>
      <c r="K308" s="31"/>
      <c r="L308" s="31"/>
    </row>
    <row r="309" spans="1:12" ht="17.149999999999999" customHeight="1" x14ac:dyDescent="0.4">
      <c r="A309" s="22" t="s">
        <v>755</v>
      </c>
      <c r="B309" s="42" t="s">
        <v>23</v>
      </c>
      <c r="C309" s="19">
        <v>8660496.2666666675</v>
      </c>
      <c r="D309" s="19">
        <v>83911.4</v>
      </c>
      <c r="E309" s="20">
        <v>9.6966666666666659E-3</v>
      </c>
      <c r="F309" s="19">
        <v>30178927.833333332</v>
      </c>
      <c r="G309" s="19">
        <v>113841</v>
      </c>
      <c r="H309" s="20">
        <v>3.7966666666666665E-3</v>
      </c>
      <c r="I309" s="21">
        <v>3.4824200000000007</v>
      </c>
      <c r="J309" s="2"/>
      <c r="K309" s="31"/>
      <c r="L309" s="31"/>
    </row>
    <row r="310" spans="1:12" ht="17.149999999999999" customHeight="1" x14ac:dyDescent="0.4">
      <c r="A310" s="22" t="s">
        <v>663</v>
      </c>
      <c r="B310" s="42" t="s">
        <v>23</v>
      </c>
      <c r="C310" s="53">
        <v>8833125.4193548393</v>
      </c>
      <c r="D310" s="53">
        <v>85206.870967741939</v>
      </c>
      <c r="E310" s="89">
        <v>9.651612903225807E-3</v>
      </c>
      <c r="F310" s="53">
        <v>32219473.903225806</v>
      </c>
      <c r="G310" s="53">
        <v>115060.80645161291</v>
      </c>
      <c r="H310" s="89">
        <v>3.596774193548387E-3</v>
      </c>
      <c r="I310" s="56">
        <v>3.647329032258066</v>
      </c>
      <c r="J310" s="2"/>
      <c r="K310" s="31"/>
      <c r="L310" s="31"/>
    </row>
    <row r="311" spans="1:12" ht="17.149999999999999" customHeight="1" x14ac:dyDescent="0.4">
      <c r="A311" s="22" t="s">
        <v>539</v>
      </c>
      <c r="B311" s="42" t="s">
        <v>23</v>
      </c>
      <c r="C311" s="53">
        <v>9147022.4827586208</v>
      </c>
      <c r="D311" s="53">
        <v>83515.241379310348</v>
      </c>
      <c r="E311" s="89">
        <v>9.127586206896552E-3</v>
      </c>
      <c r="F311" s="53">
        <v>37759900.620689653</v>
      </c>
      <c r="G311" s="53">
        <v>111789.27586206897</v>
      </c>
      <c r="H311" s="89">
        <v>2.9551724137931038E-3</v>
      </c>
      <c r="I311" s="56">
        <v>4.1289413793103442</v>
      </c>
      <c r="J311" s="2"/>
    </row>
    <row r="312" spans="1:12" ht="17.149999999999999" customHeight="1" x14ac:dyDescent="0.4">
      <c r="A312" s="22" t="s">
        <v>464</v>
      </c>
      <c r="B312" s="42" t="s">
        <v>23</v>
      </c>
      <c r="C312" s="53">
        <v>9464358.2903225813</v>
      </c>
      <c r="D312" s="53">
        <v>165446.51612903227</v>
      </c>
      <c r="E312" s="89">
        <v>1.7480645161290321E-2</v>
      </c>
      <c r="F312" s="53">
        <v>77493632.451612905</v>
      </c>
      <c r="G312" s="53">
        <v>257262.67741935485</v>
      </c>
      <c r="H312" s="89">
        <v>3.316129032258064E-3</v>
      </c>
      <c r="I312" s="56">
        <v>8.191612903225808</v>
      </c>
      <c r="J312" s="2"/>
    </row>
    <row r="313" spans="1:12" ht="17.149999999999999" customHeight="1" x14ac:dyDescent="0.4">
      <c r="A313" s="22" t="s">
        <v>215</v>
      </c>
      <c r="B313" s="42" t="s">
        <v>23</v>
      </c>
      <c r="C313" s="53">
        <v>9811763.5806451607</v>
      </c>
      <c r="D313" s="53">
        <v>175896.83870967742</v>
      </c>
      <c r="E313" s="89">
        <v>1.7922580645161289E-2</v>
      </c>
      <c r="F313" s="53">
        <v>81071395.129032254</v>
      </c>
      <c r="G313" s="53">
        <v>266200.19354838709</v>
      </c>
      <c r="H313" s="89">
        <v>3.287096774193548E-3</v>
      </c>
      <c r="I313" s="56">
        <v>8.2634258064516128</v>
      </c>
      <c r="J313" s="2"/>
    </row>
    <row r="314" spans="1:12" ht="17.149999999999999" customHeight="1" x14ac:dyDescent="0.4">
      <c r="A314" s="22" t="s">
        <v>224</v>
      </c>
      <c r="B314" s="42" t="s">
        <v>23</v>
      </c>
      <c r="C314" s="53">
        <v>9997919.4000000004</v>
      </c>
      <c r="D314" s="53">
        <v>186307.26666666666</v>
      </c>
      <c r="E314" s="89">
        <v>1.862666666666667E-2</v>
      </c>
      <c r="F314" s="53">
        <v>82397324.033333331</v>
      </c>
      <c r="G314" s="53">
        <v>280308.73333333334</v>
      </c>
      <c r="H314" s="89">
        <v>3.4033333333333333E-3</v>
      </c>
      <c r="I314" s="56">
        <v>8.24207</v>
      </c>
      <c r="J314" s="2"/>
    </row>
    <row r="315" spans="1:12" ht="17.149999999999999" customHeight="1" x14ac:dyDescent="0.4">
      <c r="A315" s="22" t="s">
        <v>217</v>
      </c>
      <c r="B315" s="42" t="s">
        <v>23</v>
      </c>
      <c r="C315" s="53">
        <v>10399002.935483871</v>
      </c>
      <c r="D315" s="53">
        <v>225446.90322580645</v>
      </c>
      <c r="E315" s="20">
        <v>2.1680645161290323E-2</v>
      </c>
      <c r="F315" s="53">
        <v>91738210.516129032</v>
      </c>
      <c r="G315" s="53">
        <v>346473.6451612903</v>
      </c>
      <c r="H315" s="20">
        <v>3.7806451612903236E-3</v>
      </c>
      <c r="I315" s="56">
        <v>8.8209161290322573</v>
      </c>
      <c r="J315" s="2"/>
    </row>
    <row r="316" spans="1:12" ht="17.149999999999999" customHeight="1" x14ac:dyDescent="0.4">
      <c r="A316" s="22" t="s">
        <v>219</v>
      </c>
      <c r="B316" s="42" t="s">
        <v>23</v>
      </c>
      <c r="C316" s="53">
        <v>10625575.633333333</v>
      </c>
      <c r="D316" s="53">
        <v>239368.33333333334</v>
      </c>
      <c r="E316" s="20">
        <v>2.2526666666666671E-2</v>
      </c>
      <c r="F316" s="53">
        <v>86551780.466666669</v>
      </c>
      <c r="G316" s="53">
        <v>357572.56666666665</v>
      </c>
      <c r="H316" s="20">
        <v>4.136666666666667E-3</v>
      </c>
      <c r="I316" s="56">
        <v>8.1514366666666671</v>
      </c>
      <c r="J316" s="2"/>
    </row>
    <row r="317" spans="1:12" ht="17.149999999999999" customHeight="1" x14ac:dyDescent="0.4">
      <c r="A317" s="22" t="s">
        <v>220</v>
      </c>
      <c r="B317" s="42" t="s">
        <v>23</v>
      </c>
      <c r="C317" s="53">
        <v>10800221.935483871</v>
      </c>
      <c r="D317" s="53">
        <v>275001.83870967739</v>
      </c>
      <c r="E317" s="20">
        <v>2.5462609967871627E-2</v>
      </c>
      <c r="F317" s="53">
        <v>91271424.32258065</v>
      </c>
      <c r="G317" s="53">
        <v>424314.58064516127</v>
      </c>
      <c r="H317" s="20">
        <v>4.6489312925095368E-3</v>
      </c>
      <c r="I317" s="56">
        <v>8.4559193548387093</v>
      </c>
      <c r="J317" s="2"/>
    </row>
    <row r="318" spans="1:12" ht="17.149999999999999" customHeight="1" x14ac:dyDescent="0.4">
      <c r="A318" s="22" t="s">
        <v>221</v>
      </c>
      <c r="B318" s="42" t="s">
        <v>239</v>
      </c>
      <c r="C318" s="19">
        <v>11038277.838709677</v>
      </c>
      <c r="D318" s="19">
        <v>291599.51612903224</v>
      </c>
      <c r="E318" s="20">
        <v>2.6432258064516129E-2</v>
      </c>
      <c r="F318" s="19">
        <v>90840138.548387095</v>
      </c>
      <c r="G318" s="19">
        <v>451860.25806451612</v>
      </c>
      <c r="H318" s="20">
        <v>4.9677419354838713E-3</v>
      </c>
      <c r="I318" s="21">
        <v>8.2320999999999973</v>
      </c>
      <c r="J318" s="2"/>
    </row>
    <row r="319" spans="1:12" ht="17.149999999999999" customHeight="1" x14ac:dyDescent="0.4">
      <c r="C319" s="28"/>
      <c r="D319" s="28"/>
      <c r="E319" s="28"/>
      <c r="F319" s="28"/>
      <c r="G319" s="28"/>
      <c r="H319" s="28"/>
      <c r="I319" s="28"/>
      <c r="J319" s="2"/>
      <c r="K319" s="2"/>
      <c r="L319" s="2"/>
    </row>
    <row r="320" spans="1:12" ht="17.149999999999999" customHeight="1" x14ac:dyDescent="0.4">
      <c r="H320" s="33"/>
      <c r="I320" s="33"/>
      <c r="J320" s="2"/>
      <c r="K320" s="2"/>
      <c r="L320" s="2"/>
    </row>
    <row r="321" spans="1:12" ht="16.5" customHeight="1" x14ac:dyDescent="0.4">
      <c r="A321" s="18" t="s">
        <v>3</v>
      </c>
      <c r="B321" s="18" t="s">
        <v>22</v>
      </c>
      <c r="C321" s="18" t="s">
        <v>5</v>
      </c>
      <c r="D321" s="18" t="s">
        <v>6</v>
      </c>
      <c r="E321" s="18" t="s">
        <v>7</v>
      </c>
      <c r="F321" s="18" t="s">
        <v>8</v>
      </c>
      <c r="G321" s="18" t="s">
        <v>9</v>
      </c>
      <c r="H321" s="18" t="s">
        <v>10</v>
      </c>
      <c r="I321" s="18" t="s">
        <v>11</v>
      </c>
      <c r="J321" s="2"/>
      <c r="K321" s="2"/>
      <c r="L321" s="2"/>
    </row>
    <row r="322" spans="1:12" customFormat="1" ht="16.5" x14ac:dyDescent="0.4">
      <c r="A322" s="42">
        <v>20240716</v>
      </c>
      <c r="B322" s="42" t="s">
        <v>24</v>
      </c>
      <c r="C322" s="19">
        <v>3395931</v>
      </c>
      <c r="D322" s="19">
        <v>40772</v>
      </c>
      <c r="E322" s="20">
        <v>1.2E-2</v>
      </c>
      <c r="F322" s="19">
        <v>12603491</v>
      </c>
      <c r="G322" s="19">
        <v>65010</v>
      </c>
      <c r="H322" s="20">
        <v>5.1999999999999998E-3</v>
      </c>
      <c r="I322" s="21">
        <v>3.7113999999999998</v>
      </c>
    </row>
    <row r="323" spans="1:12" customFormat="1" ht="16.5" x14ac:dyDescent="0.4">
      <c r="A323" s="42">
        <v>20240716</v>
      </c>
      <c r="B323" s="42" t="s">
        <v>24</v>
      </c>
      <c r="C323" s="19">
        <v>3395931</v>
      </c>
      <c r="D323" s="19">
        <v>40772</v>
      </c>
      <c r="E323" s="20">
        <v>1.2E-2</v>
      </c>
      <c r="F323" s="19">
        <v>12603491</v>
      </c>
      <c r="G323" s="19">
        <v>65010</v>
      </c>
      <c r="H323" s="20">
        <v>5.1999999999999998E-3</v>
      </c>
      <c r="I323" s="21">
        <v>3.7113999999999998</v>
      </c>
    </row>
    <row r="324" spans="1:12" customFormat="1" ht="16.5" x14ac:dyDescent="0.4">
      <c r="A324" s="42">
        <v>20240715</v>
      </c>
      <c r="B324" s="42" t="s">
        <v>24</v>
      </c>
      <c r="C324" s="19">
        <v>3479587</v>
      </c>
      <c r="D324" s="19">
        <v>40968</v>
      </c>
      <c r="E324" s="20">
        <v>1.18E-2</v>
      </c>
      <c r="F324" s="19">
        <v>12752069</v>
      </c>
      <c r="G324" s="19">
        <v>64013</v>
      </c>
      <c r="H324" s="20">
        <v>5.0000000000000001E-3</v>
      </c>
      <c r="I324" s="21">
        <v>3.6648000000000001</v>
      </c>
    </row>
    <row r="325" spans="1:12" customFormat="1" ht="16.5" x14ac:dyDescent="0.4">
      <c r="A325" s="42">
        <v>20240714</v>
      </c>
      <c r="B325" s="42" t="s">
        <v>24</v>
      </c>
      <c r="C325" s="19">
        <v>3631624</v>
      </c>
      <c r="D325" s="19">
        <v>43094</v>
      </c>
      <c r="E325" s="20">
        <v>1.1900000000000001E-2</v>
      </c>
      <c r="F325" s="19">
        <v>12512483</v>
      </c>
      <c r="G325" s="19">
        <v>77402</v>
      </c>
      <c r="H325" s="20">
        <v>6.1999999999999998E-3</v>
      </c>
      <c r="I325" s="21">
        <v>3.4453999999999998</v>
      </c>
    </row>
    <row r="326" spans="1:12" customFormat="1" ht="16.5" x14ac:dyDescent="0.4">
      <c r="A326" s="42">
        <v>20240713</v>
      </c>
      <c r="B326" s="42" t="s">
        <v>24</v>
      </c>
      <c r="C326" s="19">
        <v>4511038</v>
      </c>
      <c r="D326" s="19">
        <v>39292</v>
      </c>
      <c r="E326" s="20">
        <v>8.6999999999999994E-3</v>
      </c>
      <c r="F326" s="19">
        <v>13442415</v>
      </c>
      <c r="G326" s="19">
        <v>61199</v>
      </c>
      <c r="H326" s="20">
        <v>4.5999999999999999E-3</v>
      </c>
      <c r="I326" s="21">
        <v>2.9799000000000002</v>
      </c>
    </row>
    <row r="327" spans="1:12" customFormat="1" ht="16.5" x14ac:dyDescent="0.4">
      <c r="A327" s="42">
        <v>20240712</v>
      </c>
      <c r="B327" s="42" t="s">
        <v>24</v>
      </c>
      <c r="C327" s="19">
        <v>4601551</v>
      </c>
      <c r="D327" s="19">
        <v>47243</v>
      </c>
      <c r="E327" s="20">
        <v>1.03E-2</v>
      </c>
      <c r="F327" s="19">
        <v>14001274</v>
      </c>
      <c r="G327" s="19">
        <v>73828</v>
      </c>
      <c r="H327" s="20">
        <v>5.3E-3</v>
      </c>
      <c r="I327" s="21">
        <v>3.0427</v>
      </c>
    </row>
    <row r="328" spans="1:12" customFormat="1" ht="16.5" x14ac:dyDescent="0.4">
      <c r="A328" s="42">
        <v>20240711</v>
      </c>
      <c r="B328" s="42" t="s">
        <v>24</v>
      </c>
      <c r="C328" s="19">
        <v>5135895</v>
      </c>
      <c r="D328" s="19">
        <v>43372</v>
      </c>
      <c r="E328" s="20">
        <v>8.3999999999999995E-3</v>
      </c>
      <c r="F328" s="19">
        <v>15473821</v>
      </c>
      <c r="G328" s="19">
        <v>68417</v>
      </c>
      <c r="H328" s="20">
        <v>4.4000000000000003E-3</v>
      </c>
      <c r="I328" s="21">
        <v>3.0129000000000001</v>
      </c>
    </row>
    <row r="329" spans="1:12" customFormat="1" ht="16.5" x14ac:dyDescent="0.4">
      <c r="A329" s="42">
        <v>20240710</v>
      </c>
      <c r="B329" s="42" t="s">
        <v>24</v>
      </c>
      <c r="C329" s="19">
        <v>4846455</v>
      </c>
      <c r="D329" s="19">
        <v>43963</v>
      </c>
      <c r="E329" s="20">
        <v>9.1000000000000004E-3</v>
      </c>
      <c r="F329" s="19">
        <v>14238839</v>
      </c>
      <c r="G329" s="19">
        <v>67894</v>
      </c>
      <c r="H329" s="20">
        <v>4.7999999999999996E-3</v>
      </c>
      <c r="I329" s="21">
        <v>2.9380000000000002</v>
      </c>
    </row>
    <row r="330" spans="1:12" customFormat="1" ht="16.5" x14ac:dyDescent="0.4">
      <c r="A330" s="42">
        <v>20240709</v>
      </c>
      <c r="B330" s="42" t="s">
        <v>24</v>
      </c>
      <c r="C330" s="19">
        <v>4683341</v>
      </c>
      <c r="D330" s="19">
        <v>51001</v>
      </c>
      <c r="E330" s="20">
        <v>1.09E-2</v>
      </c>
      <c r="F330" s="19">
        <v>16839773</v>
      </c>
      <c r="G330" s="19">
        <v>78305</v>
      </c>
      <c r="H330" s="20">
        <v>4.7000000000000002E-3</v>
      </c>
      <c r="I330" s="21">
        <v>3.5956999999999999</v>
      </c>
    </row>
    <row r="331" spans="1:12" customFormat="1" ht="16.5" x14ac:dyDescent="0.4">
      <c r="A331" s="42">
        <v>20240708</v>
      </c>
      <c r="B331" s="42" t="s">
        <v>24</v>
      </c>
      <c r="C331" s="19">
        <v>5567925</v>
      </c>
      <c r="D331" s="19">
        <v>49174</v>
      </c>
      <c r="E331" s="20">
        <v>8.8000000000000005E-3</v>
      </c>
      <c r="F331" s="19">
        <v>21648984</v>
      </c>
      <c r="G331" s="19">
        <v>73354</v>
      </c>
      <c r="H331" s="20">
        <v>3.3999999999999998E-3</v>
      </c>
      <c r="I331" s="21">
        <v>3.8881999999999999</v>
      </c>
    </row>
    <row r="332" spans="1:12" customFormat="1" ht="16.5" x14ac:dyDescent="0.4">
      <c r="A332" s="42">
        <v>20240707</v>
      </c>
      <c r="B332" s="42" t="s">
        <v>24</v>
      </c>
      <c r="C332" s="19">
        <v>5173510</v>
      </c>
      <c r="D332" s="19">
        <v>41977</v>
      </c>
      <c r="E332" s="20">
        <v>8.0999999999999996E-3</v>
      </c>
      <c r="F332" s="19">
        <v>16989181</v>
      </c>
      <c r="G332" s="19">
        <v>63295</v>
      </c>
      <c r="H332" s="20">
        <v>3.7000000000000002E-3</v>
      </c>
      <c r="I332" s="21">
        <v>3.2839</v>
      </c>
    </row>
    <row r="333" spans="1:12" customFormat="1" ht="16.5" x14ac:dyDescent="0.4">
      <c r="A333" s="42">
        <v>20240706</v>
      </c>
      <c r="B333" s="42" t="s">
        <v>24</v>
      </c>
      <c r="C333" s="19">
        <v>5311018</v>
      </c>
      <c r="D333" s="19">
        <v>43770</v>
      </c>
      <c r="E333" s="20">
        <v>8.2000000000000007E-3</v>
      </c>
      <c r="F333" s="19">
        <v>17042327</v>
      </c>
      <c r="G333" s="19">
        <v>67365</v>
      </c>
      <c r="H333" s="20">
        <v>4.0000000000000001E-3</v>
      </c>
      <c r="I333" s="21">
        <v>3.2088999999999999</v>
      </c>
    </row>
    <row r="334" spans="1:12" customFormat="1" ht="16.5" x14ac:dyDescent="0.4">
      <c r="A334" s="42">
        <v>20240705</v>
      </c>
      <c r="B334" s="42" t="s">
        <v>24</v>
      </c>
      <c r="C334" s="19">
        <v>5250399</v>
      </c>
      <c r="D334" s="19">
        <v>42867</v>
      </c>
      <c r="E334" s="20">
        <v>8.2000000000000007E-3</v>
      </c>
      <c r="F334" s="19">
        <v>17270772</v>
      </c>
      <c r="G334" s="19">
        <v>67846</v>
      </c>
      <c r="H334" s="20">
        <v>3.8999999999999998E-3</v>
      </c>
      <c r="I334" s="21">
        <v>3.2894000000000001</v>
      </c>
    </row>
    <row r="335" spans="1:12" customFormat="1" ht="16.5" x14ac:dyDescent="0.4">
      <c r="A335" s="42">
        <v>20240704</v>
      </c>
      <c r="B335" s="42" t="s">
        <v>24</v>
      </c>
      <c r="C335" s="19">
        <v>4627459</v>
      </c>
      <c r="D335" s="19">
        <v>42839</v>
      </c>
      <c r="E335" s="20">
        <v>9.2999999999999992E-3</v>
      </c>
      <c r="F335" s="19">
        <v>16503062</v>
      </c>
      <c r="G335" s="19">
        <v>65522</v>
      </c>
      <c r="H335" s="20">
        <v>4.0000000000000001E-3</v>
      </c>
      <c r="I335" s="21">
        <v>3.5663</v>
      </c>
    </row>
    <row r="336" spans="1:12" customFormat="1" ht="16.5" x14ac:dyDescent="0.4">
      <c r="A336" s="42">
        <v>20240703</v>
      </c>
      <c r="B336" s="42" t="s">
        <v>24</v>
      </c>
      <c r="C336" s="19">
        <v>4316914</v>
      </c>
      <c r="D336" s="19">
        <v>44399</v>
      </c>
      <c r="E336" s="20">
        <v>1.03E-2</v>
      </c>
      <c r="F336" s="19">
        <v>15958661</v>
      </c>
      <c r="G336" s="19">
        <v>68324</v>
      </c>
      <c r="H336" s="20">
        <v>4.3E-3</v>
      </c>
      <c r="I336" s="21">
        <v>3.6968000000000001</v>
      </c>
    </row>
    <row r="337" spans="1:12" customFormat="1" ht="16.5" x14ac:dyDescent="0.4">
      <c r="A337" s="42">
        <v>20240702</v>
      </c>
      <c r="B337" s="42" t="s">
        <v>24</v>
      </c>
      <c r="C337" s="19">
        <v>4319189</v>
      </c>
      <c r="D337" s="19">
        <v>41413</v>
      </c>
      <c r="E337" s="20">
        <v>9.5999999999999992E-3</v>
      </c>
      <c r="F337" s="19">
        <v>15473031</v>
      </c>
      <c r="G337" s="19">
        <v>65595</v>
      </c>
      <c r="H337" s="20">
        <v>4.1999999999999997E-3</v>
      </c>
      <c r="I337" s="21">
        <v>3.5823999999999998</v>
      </c>
    </row>
    <row r="338" spans="1:12" customFormat="1" ht="16.5" x14ac:dyDescent="0.4">
      <c r="A338" s="42">
        <v>20240701</v>
      </c>
      <c r="B338" s="42" t="s">
        <v>24</v>
      </c>
      <c r="C338" s="19">
        <v>3908001</v>
      </c>
      <c r="D338" s="19">
        <v>41443</v>
      </c>
      <c r="E338" s="20">
        <v>1.06E-2</v>
      </c>
      <c r="F338" s="19">
        <v>15008222</v>
      </c>
      <c r="G338" s="19">
        <v>67564</v>
      </c>
      <c r="H338" s="20">
        <v>4.4999999999999997E-3</v>
      </c>
      <c r="I338" s="21">
        <v>3.8403999999999998</v>
      </c>
    </row>
    <row r="339" spans="1:12" customFormat="1" ht="16.5" x14ac:dyDescent="0.4">
      <c r="A339" s="22" t="s">
        <v>971</v>
      </c>
      <c r="B339" s="42" t="s">
        <v>24</v>
      </c>
      <c r="C339" s="19">
        <v>4858471.3666666662</v>
      </c>
      <c r="D339" s="19">
        <v>39518.23333333333</v>
      </c>
      <c r="E339" s="20">
        <v>8.2499999999999987E-3</v>
      </c>
      <c r="F339" s="19">
        <v>16992247.033333335</v>
      </c>
      <c r="G339" s="19">
        <v>60880.1</v>
      </c>
      <c r="H339" s="20">
        <v>3.6033333333333338E-3</v>
      </c>
      <c r="I339" s="21">
        <v>3.50963</v>
      </c>
    </row>
    <row r="340" spans="1:12" customFormat="1" ht="16.5" x14ac:dyDescent="0.4">
      <c r="A340" s="22" t="s">
        <v>894</v>
      </c>
      <c r="B340" s="42" t="s">
        <v>24</v>
      </c>
      <c r="C340" s="19">
        <v>4832419.1290322579</v>
      </c>
      <c r="D340" s="19">
        <v>40325.967741935485</v>
      </c>
      <c r="E340" s="20">
        <v>8.4806451612903198E-3</v>
      </c>
      <c r="F340" s="19">
        <v>15824867.967741935</v>
      </c>
      <c r="G340" s="19">
        <v>62676.967741935485</v>
      </c>
      <c r="H340" s="20">
        <v>3.9967741935483881E-3</v>
      </c>
      <c r="I340" s="21">
        <v>3.2871451612903231</v>
      </c>
    </row>
    <row r="341" spans="1:12" ht="17.149999999999999" customHeight="1" x14ac:dyDescent="0.4">
      <c r="A341" s="22" t="s">
        <v>757</v>
      </c>
      <c r="B341" s="42" t="s">
        <v>24</v>
      </c>
      <c r="C341" s="19">
        <v>4679754.5999999996</v>
      </c>
      <c r="D341" s="19">
        <v>39046.433333333334</v>
      </c>
      <c r="E341" s="20">
        <v>8.3466666666666672E-3</v>
      </c>
      <c r="F341" s="19">
        <v>14453852.933333334</v>
      </c>
      <c r="G341" s="19">
        <v>60979.6</v>
      </c>
      <c r="H341" s="20">
        <v>4.2333333333333337E-3</v>
      </c>
      <c r="I341" s="21">
        <v>3.0893000000000002</v>
      </c>
      <c r="J341" s="2"/>
      <c r="K341" s="31"/>
      <c r="L341" s="31"/>
    </row>
    <row r="342" spans="1:12" ht="17.149999999999999" customHeight="1" x14ac:dyDescent="0.4">
      <c r="A342" s="22" t="s">
        <v>663</v>
      </c>
      <c r="B342" s="42" t="s">
        <v>24</v>
      </c>
      <c r="C342" s="53">
        <v>4778815.2903225804</v>
      </c>
      <c r="D342" s="53">
        <v>39857.838709677417</v>
      </c>
      <c r="E342" s="89">
        <v>8.3580645161290303E-3</v>
      </c>
      <c r="F342" s="53">
        <v>15121463.903225806</v>
      </c>
      <c r="G342" s="53">
        <v>61515.806451612902</v>
      </c>
      <c r="H342" s="89">
        <v>4.0741935483870973E-3</v>
      </c>
      <c r="I342" s="56">
        <v>3.1676548387096775</v>
      </c>
      <c r="J342" s="2"/>
      <c r="K342" s="31"/>
      <c r="L342" s="31"/>
    </row>
    <row r="343" spans="1:12" ht="17.149999999999999" customHeight="1" x14ac:dyDescent="0.4">
      <c r="A343" s="22" t="s">
        <v>530</v>
      </c>
      <c r="B343" s="42" t="s">
        <v>24</v>
      </c>
      <c r="C343" s="53">
        <v>4841926.8275862066</v>
      </c>
      <c r="D343" s="53">
        <v>37763.103448275862</v>
      </c>
      <c r="E343" s="89">
        <v>7.8103448275862082E-3</v>
      </c>
      <c r="F343" s="53">
        <v>15965166.103448275</v>
      </c>
      <c r="G343" s="53">
        <v>57838.103448275862</v>
      </c>
      <c r="H343" s="89">
        <v>3.6172413793103446E-3</v>
      </c>
      <c r="I343" s="56">
        <v>3.2994620689655165</v>
      </c>
      <c r="J343" s="2"/>
      <c r="K343" s="2"/>
      <c r="L343" s="2"/>
    </row>
    <row r="344" spans="1:12" ht="17.149999999999999" customHeight="1" x14ac:dyDescent="0.4">
      <c r="A344" s="22" t="s">
        <v>464</v>
      </c>
      <c r="B344" s="42" t="s">
        <v>24</v>
      </c>
      <c r="C344" s="53">
        <v>4932923.5806451617</v>
      </c>
      <c r="D344" s="53">
        <v>52394.419354838712</v>
      </c>
      <c r="E344" s="89">
        <v>1.0638709677419355E-2</v>
      </c>
      <c r="F344" s="53">
        <v>21634219.225806452</v>
      </c>
      <c r="G344" s="53">
        <v>85428.483870967742</v>
      </c>
      <c r="H344" s="89">
        <v>3.9451612903225802E-3</v>
      </c>
      <c r="I344" s="56">
        <v>4.3934903225806448</v>
      </c>
      <c r="J344" s="2"/>
      <c r="K344" s="2"/>
      <c r="L344" s="2"/>
    </row>
    <row r="345" spans="1:12" ht="17.149999999999999" customHeight="1" x14ac:dyDescent="0.4">
      <c r="A345" s="22" t="s">
        <v>215</v>
      </c>
      <c r="B345" s="42" t="s">
        <v>24</v>
      </c>
      <c r="C345" s="53">
        <v>5064247.3870967738</v>
      </c>
      <c r="D345" s="53">
        <v>55485.096774193546</v>
      </c>
      <c r="E345" s="89">
        <v>1.0964516129032261E-2</v>
      </c>
      <c r="F345" s="53">
        <v>22976790.516129032</v>
      </c>
      <c r="G345" s="53">
        <v>89210.967741935485</v>
      </c>
      <c r="H345" s="89">
        <v>3.880645161290323E-3</v>
      </c>
      <c r="I345" s="56">
        <v>4.5397161290322581</v>
      </c>
      <c r="J345" s="2"/>
      <c r="K345" s="2"/>
      <c r="L345" s="2"/>
    </row>
    <row r="346" spans="1:12" ht="17.149999999999999" customHeight="1" x14ac:dyDescent="0.4">
      <c r="A346" s="22" t="s">
        <v>224</v>
      </c>
      <c r="B346" s="42" t="s">
        <v>24</v>
      </c>
      <c r="C346" s="53">
        <v>5042759.9333333336</v>
      </c>
      <c r="D346" s="53">
        <v>59570.1</v>
      </c>
      <c r="E346" s="89">
        <v>1.1813333333333334E-2</v>
      </c>
      <c r="F346" s="53">
        <v>23216391.366666667</v>
      </c>
      <c r="G346" s="53">
        <v>94701.46666666666</v>
      </c>
      <c r="H346" s="89">
        <v>4.0766666666666668E-3</v>
      </c>
      <c r="I346" s="56">
        <v>4.6070466666666663</v>
      </c>
      <c r="J346" s="2"/>
      <c r="K346" s="2"/>
      <c r="L346" s="2"/>
    </row>
    <row r="347" spans="1:12" ht="17.149999999999999" customHeight="1" x14ac:dyDescent="0.4">
      <c r="A347" s="22" t="s">
        <v>217</v>
      </c>
      <c r="B347" s="42" t="s">
        <v>24</v>
      </c>
      <c r="C347" s="53">
        <v>5195456.2258064514</v>
      </c>
      <c r="D347" s="53">
        <v>68530.645161290318</v>
      </c>
      <c r="E347" s="20">
        <v>1.3206451612903226E-2</v>
      </c>
      <c r="F347" s="53">
        <v>24726058.516129032</v>
      </c>
      <c r="G347" s="53">
        <v>111437.22580645161</v>
      </c>
      <c r="H347" s="20">
        <v>4.5064516129032254E-3</v>
      </c>
      <c r="I347" s="56">
        <v>4.7653225806451625</v>
      </c>
      <c r="J347" s="2"/>
      <c r="K347" s="2"/>
      <c r="L347" s="2"/>
    </row>
    <row r="348" spans="1:12" ht="17.149999999999999" customHeight="1" x14ac:dyDescent="0.4">
      <c r="A348" s="22" t="s">
        <v>219</v>
      </c>
      <c r="B348" s="42" t="s">
        <v>24</v>
      </c>
      <c r="C348" s="53">
        <v>5172761.9000000004</v>
      </c>
      <c r="D348" s="53">
        <v>70086.8</v>
      </c>
      <c r="E348" s="20">
        <v>1.3573333333333338E-2</v>
      </c>
      <c r="F348" s="53">
        <v>23885817.899999999</v>
      </c>
      <c r="G348" s="53">
        <v>109980.43333333333</v>
      </c>
      <c r="H348" s="20">
        <v>4.6066666666666669E-3</v>
      </c>
      <c r="I348" s="56">
        <v>4.6297433333333338</v>
      </c>
      <c r="J348" s="2"/>
      <c r="K348" s="2"/>
      <c r="L348" s="2"/>
    </row>
    <row r="349" spans="1:12" ht="17.149999999999999" customHeight="1" x14ac:dyDescent="0.4">
      <c r="A349" s="22" t="s">
        <v>220</v>
      </c>
      <c r="B349" s="42" t="s">
        <v>24</v>
      </c>
      <c r="C349" s="53">
        <v>5124986.9677419355</v>
      </c>
      <c r="D349" s="53">
        <v>78173.06451612903</v>
      </c>
      <c r="E349" s="20">
        <v>1.5253319668551667E-2</v>
      </c>
      <c r="F349" s="53">
        <v>24758187.870967742</v>
      </c>
      <c r="G349" s="53">
        <v>124713.16129032258</v>
      </c>
      <c r="H349" s="20">
        <v>5.0372491694582093E-3</v>
      </c>
      <c r="I349" s="56">
        <v>4.8420774193548377</v>
      </c>
      <c r="J349" s="2"/>
      <c r="K349" s="2"/>
      <c r="L349" s="2"/>
    </row>
    <row r="350" spans="1:12" ht="17.149999999999999" customHeight="1" x14ac:dyDescent="0.4">
      <c r="A350" s="22" t="s">
        <v>221</v>
      </c>
      <c r="B350" s="42" t="s">
        <v>240</v>
      </c>
      <c r="C350" s="19">
        <v>5124647.064516129</v>
      </c>
      <c r="D350" s="19">
        <v>79520.193548387091</v>
      </c>
      <c r="E350" s="20">
        <v>1.5541935483870967E-2</v>
      </c>
      <c r="F350" s="19">
        <v>24996219.419354837</v>
      </c>
      <c r="G350" s="19">
        <v>126429.12903225806</v>
      </c>
      <c r="H350" s="20">
        <v>5.0580645161290329E-3</v>
      </c>
      <c r="I350" s="21">
        <v>4.8847096774193552</v>
      </c>
      <c r="J350" s="2"/>
      <c r="K350" s="2"/>
      <c r="L350" s="2"/>
    </row>
    <row r="351" spans="1:12" ht="17.149999999999999" customHeight="1" x14ac:dyDescent="0.4">
      <c r="C351" s="28"/>
      <c r="D351" s="28"/>
      <c r="E351" s="28"/>
      <c r="F351" s="28"/>
      <c r="G351" s="28"/>
      <c r="H351" s="28"/>
      <c r="I351" s="28"/>
      <c r="K351" s="2"/>
      <c r="L351" s="2"/>
    </row>
    <row r="352" spans="1:12" ht="17.149999999999999" customHeight="1" x14ac:dyDescent="0.4">
      <c r="H352" s="33"/>
      <c r="I352" s="33"/>
      <c r="K352" s="2"/>
      <c r="L352" s="2"/>
    </row>
    <row r="353" spans="1:9" s="2" customFormat="1" ht="15" x14ac:dyDescent="0.25">
      <c r="A353" s="18" t="s">
        <v>3</v>
      </c>
      <c r="B353" s="18" t="s">
        <v>25</v>
      </c>
      <c r="C353" s="18" t="s">
        <v>5</v>
      </c>
      <c r="D353" s="18" t="s">
        <v>6</v>
      </c>
      <c r="E353" s="18" t="s">
        <v>7</v>
      </c>
      <c r="F353" s="18" t="s">
        <v>8</v>
      </c>
      <c r="G353" s="18" t="s">
        <v>9</v>
      </c>
      <c r="H353" s="18" t="s">
        <v>10</v>
      </c>
      <c r="I353" s="18" t="s">
        <v>11</v>
      </c>
    </row>
    <row r="354" spans="1:9" customFormat="1" ht="16.5" x14ac:dyDescent="0.4">
      <c r="A354" s="42">
        <v>20240716</v>
      </c>
      <c r="B354" s="42" t="s">
        <v>26</v>
      </c>
      <c r="C354" s="19">
        <v>3579784</v>
      </c>
      <c r="D354" s="19">
        <v>47519</v>
      </c>
      <c r="E354" s="20">
        <v>1.3299999999999999E-2</v>
      </c>
      <c r="F354" s="19">
        <v>18874888</v>
      </c>
      <c r="G354" s="19">
        <v>58107</v>
      </c>
      <c r="H354" s="20">
        <v>3.0999999999999999E-3</v>
      </c>
      <c r="I354" s="21">
        <v>5.2725999999999997</v>
      </c>
    </row>
    <row r="355" spans="1:9" customFormat="1" ht="16.5" x14ac:dyDescent="0.4">
      <c r="A355" s="42">
        <v>20240716</v>
      </c>
      <c r="B355" s="42" t="s">
        <v>26</v>
      </c>
      <c r="C355" s="19">
        <v>3579784</v>
      </c>
      <c r="D355" s="19">
        <v>47519</v>
      </c>
      <c r="E355" s="20">
        <v>1.3299999999999999E-2</v>
      </c>
      <c r="F355" s="19">
        <v>18874888</v>
      </c>
      <c r="G355" s="19">
        <v>58107</v>
      </c>
      <c r="H355" s="20">
        <v>3.0999999999999999E-3</v>
      </c>
      <c r="I355" s="21">
        <v>5.2725999999999997</v>
      </c>
    </row>
    <row r="356" spans="1:9" customFormat="1" ht="16.5" x14ac:dyDescent="0.4">
      <c r="A356" s="42">
        <v>20240715</v>
      </c>
      <c r="B356" s="42" t="s">
        <v>26</v>
      </c>
      <c r="C356" s="19">
        <v>3583913</v>
      </c>
      <c r="D356" s="19">
        <v>50164</v>
      </c>
      <c r="E356" s="20">
        <v>1.4E-2</v>
      </c>
      <c r="F356" s="19">
        <v>18627644</v>
      </c>
      <c r="G356" s="19">
        <v>59699</v>
      </c>
      <c r="H356" s="20">
        <v>3.2000000000000002E-3</v>
      </c>
      <c r="I356" s="21">
        <v>5.1976000000000004</v>
      </c>
    </row>
    <row r="357" spans="1:9" customFormat="1" ht="16.5" x14ac:dyDescent="0.4">
      <c r="A357" s="42">
        <v>20240714</v>
      </c>
      <c r="B357" s="42" t="s">
        <v>26</v>
      </c>
      <c r="C357" s="19">
        <v>3583050</v>
      </c>
      <c r="D357" s="19">
        <v>50357</v>
      </c>
      <c r="E357" s="20">
        <v>1.41E-2</v>
      </c>
      <c r="F357" s="19">
        <v>18834186</v>
      </c>
      <c r="G357" s="19">
        <v>62041</v>
      </c>
      <c r="H357" s="20">
        <v>3.3E-3</v>
      </c>
      <c r="I357" s="21">
        <v>5.2565</v>
      </c>
    </row>
    <row r="358" spans="1:9" customFormat="1" ht="16.5" x14ac:dyDescent="0.4">
      <c r="A358" s="42">
        <v>20240713</v>
      </c>
      <c r="B358" s="42" t="s">
        <v>26</v>
      </c>
      <c r="C358" s="19">
        <v>3590395</v>
      </c>
      <c r="D358" s="19">
        <v>47631</v>
      </c>
      <c r="E358" s="20">
        <v>1.3299999999999999E-2</v>
      </c>
      <c r="F358" s="19">
        <v>18249168</v>
      </c>
      <c r="G358" s="19">
        <v>57413</v>
      </c>
      <c r="H358" s="20">
        <v>3.0999999999999999E-3</v>
      </c>
      <c r="I358" s="21">
        <v>5.0827999999999998</v>
      </c>
    </row>
    <row r="359" spans="1:9" customFormat="1" ht="16.5" x14ac:dyDescent="0.4">
      <c r="A359" s="42">
        <v>20240712</v>
      </c>
      <c r="B359" s="42" t="s">
        <v>26</v>
      </c>
      <c r="C359" s="19">
        <v>3598518</v>
      </c>
      <c r="D359" s="19">
        <v>59122</v>
      </c>
      <c r="E359" s="20">
        <v>1.6400000000000001E-2</v>
      </c>
      <c r="F359" s="19">
        <v>18802979</v>
      </c>
      <c r="G359" s="19">
        <v>72849</v>
      </c>
      <c r="H359" s="20">
        <v>3.8999999999999998E-3</v>
      </c>
      <c r="I359" s="21">
        <v>5.2252000000000001</v>
      </c>
    </row>
    <row r="360" spans="1:9" customFormat="1" ht="16.5" x14ac:dyDescent="0.4">
      <c r="A360" s="42">
        <v>20240711</v>
      </c>
      <c r="B360" s="42" t="s">
        <v>26</v>
      </c>
      <c r="C360" s="19">
        <v>3610026</v>
      </c>
      <c r="D360" s="19">
        <v>51837</v>
      </c>
      <c r="E360" s="20">
        <v>1.44E-2</v>
      </c>
      <c r="F360" s="19">
        <v>18737645</v>
      </c>
      <c r="G360" s="19">
        <v>63424</v>
      </c>
      <c r="H360" s="20">
        <v>3.3999999999999998E-3</v>
      </c>
      <c r="I360" s="21">
        <v>5.1904000000000003</v>
      </c>
    </row>
    <row r="361" spans="1:9" customFormat="1" ht="16.5" x14ac:dyDescent="0.4">
      <c r="A361" s="42">
        <v>20240710</v>
      </c>
      <c r="B361" s="42" t="s">
        <v>26</v>
      </c>
      <c r="C361" s="19">
        <v>3605837</v>
      </c>
      <c r="D361" s="19">
        <v>54012</v>
      </c>
      <c r="E361" s="20">
        <v>1.4999999999999999E-2</v>
      </c>
      <c r="F361" s="19">
        <v>18834056</v>
      </c>
      <c r="G361" s="19">
        <v>65605</v>
      </c>
      <c r="H361" s="20">
        <v>3.5000000000000001E-3</v>
      </c>
      <c r="I361" s="21">
        <v>5.2232000000000003</v>
      </c>
    </row>
    <row r="362" spans="1:9" customFormat="1" ht="16.5" x14ac:dyDescent="0.4">
      <c r="A362" s="42">
        <v>20240709</v>
      </c>
      <c r="B362" s="42" t="s">
        <v>26</v>
      </c>
      <c r="C362" s="19">
        <v>3618666</v>
      </c>
      <c r="D362" s="19">
        <v>61183</v>
      </c>
      <c r="E362" s="20">
        <v>1.6899999999999998E-2</v>
      </c>
      <c r="F362" s="19">
        <v>19604425</v>
      </c>
      <c r="G362" s="19">
        <v>75000</v>
      </c>
      <c r="H362" s="20">
        <v>3.8E-3</v>
      </c>
      <c r="I362" s="21">
        <v>5.4176000000000002</v>
      </c>
    </row>
    <row r="363" spans="1:9" customFormat="1" ht="16.5" x14ac:dyDescent="0.4">
      <c r="A363" s="42">
        <v>20240708</v>
      </c>
      <c r="B363" s="42" t="s">
        <v>26</v>
      </c>
      <c r="C363" s="19">
        <v>3619696</v>
      </c>
      <c r="D363" s="19">
        <v>64464</v>
      </c>
      <c r="E363" s="20">
        <v>1.78E-2</v>
      </c>
      <c r="F363" s="19">
        <v>18973992</v>
      </c>
      <c r="G363" s="19">
        <v>77718</v>
      </c>
      <c r="H363" s="20">
        <v>4.1000000000000003E-3</v>
      </c>
      <c r="I363" s="21">
        <v>5.2419000000000002</v>
      </c>
    </row>
    <row r="364" spans="1:9" customFormat="1" ht="16.5" x14ac:dyDescent="0.4">
      <c r="A364" s="42">
        <v>20240707</v>
      </c>
      <c r="B364" s="42" t="s">
        <v>26</v>
      </c>
      <c r="C364" s="19">
        <v>3617114</v>
      </c>
      <c r="D364" s="19">
        <v>53882</v>
      </c>
      <c r="E364" s="20">
        <v>1.49E-2</v>
      </c>
      <c r="F364" s="19">
        <v>18756928</v>
      </c>
      <c r="G364" s="19">
        <v>65366</v>
      </c>
      <c r="H364" s="20">
        <v>3.5000000000000001E-3</v>
      </c>
      <c r="I364" s="21">
        <v>5.1856</v>
      </c>
    </row>
    <row r="365" spans="1:9" customFormat="1" ht="16.5" x14ac:dyDescent="0.4">
      <c r="A365" s="42">
        <v>20240706</v>
      </c>
      <c r="B365" s="42" t="s">
        <v>26</v>
      </c>
      <c r="C365" s="19">
        <v>3631253</v>
      </c>
      <c r="D365" s="19">
        <v>56496</v>
      </c>
      <c r="E365" s="20">
        <v>1.5599999999999999E-2</v>
      </c>
      <c r="F365" s="19">
        <v>19150547</v>
      </c>
      <c r="G365" s="19">
        <v>68355</v>
      </c>
      <c r="H365" s="20">
        <v>3.5999999999999999E-3</v>
      </c>
      <c r="I365" s="21">
        <v>5.2737999999999996</v>
      </c>
    </row>
    <row r="366" spans="1:9" customFormat="1" ht="16.5" x14ac:dyDescent="0.4">
      <c r="A366" s="42">
        <v>20240705</v>
      </c>
      <c r="B366" s="42" t="s">
        <v>26</v>
      </c>
      <c r="C366" s="19">
        <v>3637288</v>
      </c>
      <c r="D366" s="19">
        <v>55847</v>
      </c>
      <c r="E366" s="20">
        <v>1.54E-2</v>
      </c>
      <c r="F366" s="19">
        <v>19264259</v>
      </c>
      <c r="G366" s="19">
        <v>68109</v>
      </c>
      <c r="H366" s="20">
        <v>3.5000000000000001E-3</v>
      </c>
      <c r="I366" s="21">
        <v>5.2962999999999996</v>
      </c>
    </row>
    <row r="367" spans="1:9" customFormat="1" ht="16.5" x14ac:dyDescent="0.4">
      <c r="A367" s="42">
        <v>20240704</v>
      </c>
      <c r="B367" s="42" t="s">
        <v>26</v>
      </c>
      <c r="C367" s="19">
        <v>3636252</v>
      </c>
      <c r="D367" s="19">
        <v>55746</v>
      </c>
      <c r="E367" s="20">
        <v>1.5299999999999999E-2</v>
      </c>
      <c r="F367" s="19">
        <v>19182155</v>
      </c>
      <c r="G367" s="19">
        <v>67998</v>
      </c>
      <c r="H367" s="20">
        <v>3.5000000000000001E-3</v>
      </c>
      <c r="I367" s="21">
        <v>5.2752999999999997</v>
      </c>
    </row>
    <row r="368" spans="1:9" customFormat="1" ht="16.5" x14ac:dyDescent="0.4">
      <c r="A368" s="42">
        <v>20240703</v>
      </c>
      <c r="B368" s="42" t="s">
        <v>26</v>
      </c>
      <c r="C368" s="19">
        <v>3632496</v>
      </c>
      <c r="D368" s="19">
        <v>55525</v>
      </c>
      <c r="E368" s="20">
        <v>1.5299999999999999E-2</v>
      </c>
      <c r="F368" s="19">
        <v>19104480</v>
      </c>
      <c r="G368" s="19">
        <v>67654</v>
      </c>
      <c r="H368" s="20">
        <v>3.5000000000000001E-3</v>
      </c>
      <c r="I368" s="21">
        <v>5.2592999999999996</v>
      </c>
    </row>
    <row r="369" spans="1:12" customFormat="1" ht="16.5" x14ac:dyDescent="0.4">
      <c r="A369" s="42">
        <v>20240702</v>
      </c>
      <c r="B369" s="42" t="s">
        <v>26</v>
      </c>
      <c r="C369" s="19">
        <v>3641067</v>
      </c>
      <c r="D369" s="19">
        <v>51036</v>
      </c>
      <c r="E369" s="20">
        <v>1.4E-2</v>
      </c>
      <c r="F369" s="19">
        <v>18902613</v>
      </c>
      <c r="G369" s="19">
        <v>61681</v>
      </c>
      <c r="H369" s="20">
        <v>3.3E-3</v>
      </c>
      <c r="I369" s="21">
        <v>5.1914999999999996</v>
      </c>
    </row>
    <row r="370" spans="1:12" customFormat="1" ht="16.5" x14ac:dyDescent="0.4">
      <c r="A370" s="42">
        <v>20240701</v>
      </c>
      <c r="B370" s="42" t="s">
        <v>26</v>
      </c>
      <c r="C370" s="19">
        <v>3631941</v>
      </c>
      <c r="D370" s="19">
        <v>48531</v>
      </c>
      <c r="E370" s="20">
        <v>1.34E-2</v>
      </c>
      <c r="F370" s="19">
        <v>18796630</v>
      </c>
      <c r="G370" s="19">
        <v>58193</v>
      </c>
      <c r="H370" s="20">
        <v>3.0999999999999999E-3</v>
      </c>
      <c r="I370" s="21">
        <v>5.1753999999999998</v>
      </c>
    </row>
    <row r="371" spans="1:12" customFormat="1" ht="16.5" x14ac:dyDescent="0.4">
      <c r="A371" s="22" t="s">
        <v>978</v>
      </c>
      <c r="B371" s="42" t="s">
        <v>26</v>
      </c>
      <c r="C371" s="19">
        <v>3706685.0666666669</v>
      </c>
      <c r="D371" s="19">
        <v>47340.800000000003</v>
      </c>
      <c r="E371" s="20">
        <v>1.2776666666666667E-2</v>
      </c>
      <c r="F371" s="19">
        <v>18878091.600000001</v>
      </c>
      <c r="G371" s="19">
        <v>56517.1</v>
      </c>
      <c r="H371" s="20">
        <v>2.9800000000000004E-3</v>
      </c>
      <c r="I371" s="21">
        <v>5.0939099999999984</v>
      </c>
    </row>
    <row r="372" spans="1:12" customFormat="1" ht="16.5" x14ac:dyDescent="0.4">
      <c r="A372" s="22" t="s">
        <v>895</v>
      </c>
      <c r="B372" s="42" t="s">
        <v>26</v>
      </c>
      <c r="C372" s="19">
        <v>3844086.1290322579</v>
      </c>
      <c r="D372" s="19">
        <v>45943.387096774197</v>
      </c>
      <c r="E372" s="20">
        <v>1.1948387096774191E-2</v>
      </c>
      <c r="F372" s="19">
        <v>18356782.290322579</v>
      </c>
      <c r="G372" s="19">
        <v>54276.93548387097</v>
      </c>
      <c r="H372" s="20">
        <v>2.9967741935483876E-3</v>
      </c>
      <c r="I372" s="21">
        <v>4.7733096774193546</v>
      </c>
    </row>
    <row r="373" spans="1:12" ht="17.149999999999999" customHeight="1" x14ac:dyDescent="0.4">
      <c r="A373" s="22" t="s">
        <v>755</v>
      </c>
      <c r="B373" s="42" t="s">
        <v>26</v>
      </c>
      <c r="C373" s="19">
        <v>3980741.6666666665</v>
      </c>
      <c r="D373" s="19">
        <v>44864.966666666667</v>
      </c>
      <c r="E373" s="20">
        <v>1.1273333333333331E-2</v>
      </c>
      <c r="F373" s="19">
        <v>15725074.9</v>
      </c>
      <c r="G373" s="19">
        <v>52861.4</v>
      </c>
      <c r="H373" s="20">
        <v>3.3966666666666659E-3</v>
      </c>
      <c r="I373" s="21">
        <v>3.9515033333333327</v>
      </c>
      <c r="J373" s="2"/>
      <c r="K373" s="31"/>
      <c r="L373" s="31"/>
    </row>
    <row r="374" spans="1:12" ht="17.149999999999999" customHeight="1" x14ac:dyDescent="0.4">
      <c r="A374" s="22" t="s">
        <v>663</v>
      </c>
      <c r="B374" s="42" t="s">
        <v>26</v>
      </c>
      <c r="C374" s="53">
        <v>4054310.1290322579</v>
      </c>
      <c r="D374" s="53">
        <v>45349.032258064515</v>
      </c>
      <c r="E374" s="89">
        <v>1.12E-2</v>
      </c>
      <c r="F374" s="53">
        <v>17098010</v>
      </c>
      <c r="G374" s="53">
        <v>53545</v>
      </c>
      <c r="H374" s="89">
        <v>3.161290322580646E-3</v>
      </c>
      <c r="I374" s="56">
        <v>4.2160838709677417</v>
      </c>
      <c r="J374" s="2"/>
      <c r="K374" s="31"/>
      <c r="L374" s="31"/>
    </row>
    <row r="375" spans="1:12" ht="17.149999999999999" customHeight="1" x14ac:dyDescent="0.4">
      <c r="A375" s="22" t="s">
        <v>540</v>
      </c>
      <c r="B375" s="42" t="s">
        <v>26</v>
      </c>
      <c r="C375" s="53">
        <v>4305095.6551724141</v>
      </c>
      <c r="D375" s="53">
        <v>45752.137931034486</v>
      </c>
      <c r="E375" s="89">
        <v>1.0631034482758621E-2</v>
      </c>
      <c r="F375" s="53">
        <v>21794734.517241381</v>
      </c>
      <c r="G375" s="53">
        <v>53951.172413793101</v>
      </c>
      <c r="H375" s="89">
        <v>2.4793103448275864E-3</v>
      </c>
      <c r="I375" s="56">
        <v>5.062413793103449</v>
      </c>
      <c r="K375" s="2"/>
      <c r="L375" s="2"/>
    </row>
    <row r="376" spans="1:12" ht="17.149999999999999" customHeight="1" x14ac:dyDescent="0.4">
      <c r="A376" s="22" t="s">
        <v>464</v>
      </c>
      <c r="B376" s="42" t="s">
        <v>26</v>
      </c>
      <c r="C376" s="53">
        <v>4531434.7096774196</v>
      </c>
      <c r="D376" s="53">
        <v>113052.09677419355</v>
      </c>
      <c r="E376" s="89">
        <v>2.4916129032258066E-2</v>
      </c>
      <c r="F376" s="53">
        <v>55859413.225806452</v>
      </c>
      <c r="G376" s="53">
        <v>171834.19354838709</v>
      </c>
      <c r="H376" s="89">
        <v>3.0774193548387097E-3</v>
      </c>
      <c r="I376" s="56">
        <v>12.321703225806452</v>
      </c>
      <c r="K376" s="2"/>
      <c r="L376" s="2"/>
    </row>
    <row r="377" spans="1:12" ht="17.149999999999999" customHeight="1" x14ac:dyDescent="0.4">
      <c r="A377" s="22" t="s">
        <v>215</v>
      </c>
      <c r="B377" s="42" t="s">
        <v>26</v>
      </c>
      <c r="C377" s="53">
        <v>4747516.1935483869</v>
      </c>
      <c r="D377" s="53">
        <v>120411.74193548386</v>
      </c>
      <c r="E377" s="89">
        <v>2.5367741935483867E-2</v>
      </c>
      <c r="F377" s="53">
        <v>58094604.612903222</v>
      </c>
      <c r="G377" s="53">
        <v>176989.22580645161</v>
      </c>
      <c r="H377" s="89">
        <v>3.0516129032258066E-3</v>
      </c>
      <c r="I377" s="56">
        <v>12.241403225806451</v>
      </c>
      <c r="K377" s="2"/>
      <c r="L377" s="2"/>
    </row>
    <row r="378" spans="1:12" ht="17.149999999999999" customHeight="1" x14ac:dyDescent="0.4">
      <c r="A378" s="22" t="s">
        <v>216</v>
      </c>
      <c r="B378" s="42" t="s">
        <v>26</v>
      </c>
      <c r="C378" s="53">
        <v>4955159.4666666668</v>
      </c>
      <c r="D378" s="53">
        <v>126737.16666666667</v>
      </c>
      <c r="E378" s="89">
        <v>2.5566666666666665E-2</v>
      </c>
      <c r="F378" s="53">
        <v>59180932.666666664</v>
      </c>
      <c r="G378" s="53">
        <v>185607.26666666666</v>
      </c>
      <c r="H378" s="89">
        <v>3.133333333333333E-3</v>
      </c>
      <c r="I378" s="56">
        <v>11.941736666666666</v>
      </c>
      <c r="K378" s="2"/>
      <c r="L378" s="2"/>
    </row>
    <row r="379" spans="1:12" ht="17.149999999999999" customHeight="1" x14ac:dyDescent="0.4">
      <c r="A379" s="22" t="s">
        <v>217</v>
      </c>
      <c r="B379" s="42" t="s">
        <v>26</v>
      </c>
      <c r="C379" s="53">
        <v>5197518.2258064514</v>
      </c>
      <c r="D379" s="53">
        <v>155129.19354838709</v>
      </c>
      <c r="E379" s="20">
        <v>2.982580645161291E-2</v>
      </c>
      <c r="F379" s="53">
        <v>66497451.677419357</v>
      </c>
      <c r="G379" s="53">
        <v>231706.93548387097</v>
      </c>
      <c r="H379" s="20">
        <v>3.487096774193549E-3</v>
      </c>
      <c r="I379" s="56">
        <v>12.788883870967744</v>
      </c>
      <c r="K379" s="2"/>
      <c r="L379" s="2"/>
    </row>
    <row r="380" spans="1:12" ht="17.149999999999999" customHeight="1" x14ac:dyDescent="0.4">
      <c r="A380" s="22" t="s">
        <v>241</v>
      </c>
      <c r="B380" s="42" t="s">
        <v>26</v>
      </c>
      <c r="C380" s="53">
        <v>5452813.7333333334</v>
      </c>
      <c r="D380" s="53">
        <v>169281.53333333333</v>
      </c>
      <c r="E380" s="20">
        <v>3.1026666666666661E-2</v>
      </c>
      <c r="F380" s="53">
        <v>62665962.56666667</v>
      </c>
      <c r="G380" s="53">
        <v>247592.13333333333</v>
      </c>
      <c r="H380" s="20">
        <v>3.96E-3</v>
      </c>
      <c r="I380" s="56">
        <v>11.493829999999997</v>
      </c>
      <c r="K380" s="2"/>
      <c r="L380" s="2"/>
    </row>
    <row r="381" spans="1:12" ht="17.149999999999999" customHeight="1" x14ac:dyDescent="0.4">
      <c r="A381" s="22" t="s">
        <v>220</v>
      </c>
      <c r="B381" s="42" t="s">
        <v>26</v>
      </c>
      <c r="C381" s="53">
        <v>5675234.9677419355</v>
      </c>
      <c r="D381" s="53">
        <v>196828.77419354839</v>
      </c>
      <c r="E381" s="20">
        <v>3.4682048463600915E-2</v>
      </c>
      <c r="F381" s="53">
        <v>66513236.451612905</v>
      </c>
      <c r="G381" s="53">
        <v>299601.41935483873</v>
      </c>
      <c r="H381" s="20">
        <v>4.5043879284507975E-3</v>
      </c>
      <c r="I381" s="56">
        <v>11.722129032258065</v>
      </c>
      <c r="K381" s="2"/>
      <c r="L381" s="2"/>
    </row>
    <row r="382" spans="1:12" ht="17.149999999999999" customHeight="1" x14ac:dyDescent="0.4">
      <c r="A382" s="22" t="s">
        <v>221</v>
      </c>
      <c r="B382" s="42" t="s">
        <v>242</v>
      </c>
      <c r="C382" s="19">
        <v>5913630.7741935486</v>
      </c>
      <c r="D382" s="19">
        <v>212079.32258064515</v>
      </c>
      <c r="E382" s="20">
        <v>3.5864516129032263E-2</v>
      </c>
      <c r="F382" s="19">
        <v>65843919.129032262</v>
      </c>
      <c r="G382" s="19">
        <v>325431.12903225806</v>
      </c>
      <c r="H382" s="20">
        <v>4.9387096774193544E-3</v>
      </c>
      <c r="I382" s="21">
        <v>11.134948387096776</v>
      </c>
    </row>
    <row r="383" spans="1:12" ht="17.149999999999999" customHeight="1" x14ac:dyDescent="0.4">
      <c r="C383" s="28"/>
      <c r="D383" s="28"/>
      <c r="E383" s="28"/>
      <c r="F383" s="28"/>
      <c r="G383" s="28"/>
      <c r="H383" s="28"/>
      <c r="I383" s="28"/>
      <c r="J383" s="2"/>
    </row>
    <row r="384" spans="1:12" ht="17.149999999999999" customHeight="1" x14ac:dyDescent="0.4">
      <c r="H384" s="33"/>
      <c r="I384" s="33"/>
      <c r="J384" s="2"/>
    </row>
    <row r="385" spans="1:9" s="2" customFormat="1" ht="15" x14ac:dyDescent="0.25">
      <c r="A385" s="18" t="s">
        <v>3</v>
      </c>
      <c r="B385" s="18" t="s">
        <v>25</v>
      </c>
      <c r="C385" s="18" t="s">
        <v>5</v>
      </c>
      <c r="D385" s="18" t="s">
        <v>6</v>
      </c>
      <c r="E385" s="18" t="s">
        <v>7</v>
      </c>
      <c r="F385" s="18" t="s">
        <v>8</v>
      </c>
      <c r="G385" s="18" t="s">
        <v>9</v>
      </c>
      <c r="H385" s="18" t="s">
        <v>10</v>
      </c>
      <c r="I385" s="18" t="s">
        <v>11</v>
      </c>
    </row>
    <row r="386" spans="1:9" customFormat="1" ht="16.5" x14ac:dyDescent="0.4">
      <c r="A386" s="42">
        <v>20240716</v>
      </c>
      <c r="B386" s="42" t="s">
        <v>27</v>
      </c>
      <c r="C386" s="19">
        <v>111588</v>
      </c>
      <c r="D386" s="19">
        <v>4139</v>
      </c>
      <c r="E386" s="20">
        <v>3.7100000000000001E-2</v>
      </c>
      <c r="F386" s="19">
        <v>1045412</v>
      </c>
      <c r="G386" s="19">
        <v>7049</v>
      </c>
      <c r="H386" s="20">
        <v>6.7000000000000002E-3</v>
      </c>
      <c r="I386" s="21">
        <v>9.3684999999999992</v>
      </c>
    </row>
    <row r="387" spans="1:9" customFormat="1" ht="16.5" x14ac:dyDescent="0.4">
      <c r="A387" s="42">
        <v>20240716</v>
      </c>
      <c r="B387" s="42" t="s">
        <v>27</v>
      </c>
      <c r="C387" s="19">
        <v>111588</v>
      </c>
      <c r="D387" s="19">
        <v>4139</v>
      </c>
      <c r="E387" s="20">
        <v>3.7100000000000001E-2</v>
      </c>
      <c r="F387" s="19">
        <v>1045412</v>
      </c>
      <c r="G387" s="19">
        <v>7049</v>
      </c>
      <c r="H387" s="20">
        <v>6.7000000000000002E-3</v>
      </c>
      <c r="I387" s="21">
        <v>9.3684999999999992</v>
      </c>
    </row>
    <row r="388" spans="1:9" customFormat="1" ht="16.5" x14ac:dyDescent="0.4">
      <c r="A388" s="42">
        <v>20240715</v>
      </c>
      <c r="B388" s="42" t="s">
        <v>27</v>
      </c>
      <c r="C388" s="19">
        <v>111141</v>
      </c>
      <c r="D388" s="19">
        <v>3918</v>
      </c>
      <c r="E388" s="20">
        <v>3.5299999999999998E-2</v>
      </c>
      <c r="F388" s="19">
        <v>1019535</v>
      </c>
      <c r="G388" s="19">
        <v>6640</v>
      </c>
      <c r="H388" s="20">
        <v>6.4999999999999997E-3</v>
      </c>
      <c r="I388" s="21">
        <v>9.1732999999999993</v>
      </c>
    </row>
    <row r="389" spans="1:9" customFormat="1" ht="16.5" x14ac:dyDescent="0.4">
      <c r="A389" s="42">
        <v>20240714</v>
      </c>
      <c r="B389" s="42" t="s">
        <v>27</v>
      </c>
      <c r="C389" s="19">
        <v>108685</v>
      </c>
      <c r="D389" s="19">
        <v>3875</v>
      </c>
      <c r="E389" s="20">
        <v>3.5700000000000003E-2</v>
      </c>
      <c r="F389" s="19">
        <v>1164397</v>
      </c>
      <c r="G389" s="19">
        <v>7917</v>
      </c>
      <c r="H389" s="20">
        <v>6.7999999999999996E-3</v>
      </c>
      <c r="I389" s="21">
        <v>10.7135</v>
      </c>
    </row>
    <row r="390" spans="1:9" customFormat="1" ht="16.5" x14ac:dyDescent="0.4">
      <c r="A390" s="42">
        <v>20240713</v>
      </c>
      <c r="B390" s="42" t="s">
        <v>27</v>
      </c>
      <c r="C390" s="19">
        <v>108413</v>
      </c>
      <c r="D390" s="19">
        <v>3602</v>
      </c>
      <c r="E390" s="20">
        <v>3.32E-2</v>
      </c>
      <c r="F390" s="19">
        <v>986929</v>
      </c>
      <c r="G390" s="19">
        <v>6416</v>
      </c>
      <c r="H390" s="20">
        <v>6.4999999999999997E-3</v>
      </c>
      <c r="I390" s="21">
        <v>9.1034000000000006</v>
      </c>
    </row>
    <row r="391" spans="1:9" customFormat="1" ht="16.5" x14ac:dyDescent="0.4">
      <c r="A391" s="42">
        <v>20240712</v>
      </c>
      <c r="B391" s="42" t="s">
        <v>27</v>
      </c>
      <c r="C391" s="19">
        <v>108436</v>
      </c>
      <c r="D391" s="19">
        <v>4465</v>
      </c>
      <c r="E391" s="20">
        <v>4.1200000000000001E-2</v>
      </c>
      <c r="F391" s="19">
        <v>1041730</v>
      </c>
      <c r="G391" s="19">
        <v>7693</v>
      </c>
      <c r="H391" s="20">
        <v>7.4000000000000003E-3</v>
      </c>
      <c r="I391" s="21">
        <v>9.6068999999999996</v>
      </c>
    </row>
    <row r="392" spans="1:9" customFormat="1" ht="16.5" x14ac:dyDescent="0.4">
      <c r="A392" s="42">
        <v>20240711</v>
      </c>
      <c r="B392" s="42" t="s">
        <v>27</v>
      </c>
      <c r="C392" s="19">
        <v>218828</v>
      </c>
      <c r="D392" s="19">
        <v>4224</v>
      </c>
      <c r="E392" s="20">
        <v>1.9300000000000001E-2</v>
      </c>
      <c r="F392" s="19">
        <v>1097985</v>
      </c>
      <c r="G392" s="19">
        <v>7337</v>
      </c>
      <c r="H392" s="20">
        <v>6.7000000000000002E-3</v>
      </c>
      <c r="I392" s="21">
        <v>5.0175999999999998</v>
      </c>
    </row>
    <row r="393" spans="1:9" customFormat="1" ht="16.5" x14ac:dyDescent="0.4">
      <c r="A393" s="42">
        <v>20240710</v>
      </c>
      <c r="B393" s="42" t="s">
        <v>27</v>
      </c>
      <c r="C393" s="19">
        <v>295244</v>
      </c>
      <c r="D393" s="19">
        <v>4270</v>
      </c>
      <c r="E393" s="20">
        <v>1.4500000000000001E-2</v>
      </c>
      <c r="F393" s="19">
        <v>1165860</v>
      </c>
      <c r="G393" s="19">
        <v>7261</v>
      </c>
      <c r="H393" s="20">
        <v>6.1999999999999998E-3</v>
      </c>
      <c r="I393" s="21">
        <v>3.9487999999999999</v>
      </c>
    </row>
    <row r="394" spans="1:9" customFormat="1" ht="16.5" x14ac:dyDescent="0.4">
      <c r="A394" s="42">
        <v>20240709</v>
      </c>
      <c r="B394" s="42" t="s">
        <v>27</v>
      </c>
      <c r="C394" s="19">
        <v>304001</v>
      </c>
      <c r="D394" s="19">
        <v>5390</v>
      </c>
      <c r="E394" s="20">
        <v>1.77E-2</v>
      </c>
      <c r="F394" s="19">
        <v>1371052</v>
      </c>
      <c r="G394" s="19">
        <v>8629</v>
      </c>
      <c r="H394" s="20">
        <v>6.3E-3</v>
      </c>
      <c r="I394" s="21">
        <v>4.51</v>
      </c>
    </row>
    <row r="395" spans="1:9" customFormat="1" ht="16.5" x14ac:dyDescent="0.4">
      <c r="A395" s="42">
        <v>20240708</v>
      </c>
      <c r="B395" s="42" t="s">
        <v>27</v>
      </c>
      <c r="C395" s="19">
        <v>462364</v>
      </c>
      <c r="D395" s="19">
        <v>4974</v>
      </c>
      <c r="E395" s="20">
        <v>1.0800000000000001E-2</v>
      </c>
      <c r="F395" s="19">
        <v>1688049</v>
      </c>
      <c r="G395" s="19">
        <v>7616</v>
      </c>
      <c r="H395" s="20">
        <v>4.4999999999999997E-3</v>
      </c>
      <c r="I395" s="21">
        <v>3.6509</v>
      </c>
    </row>
    <row r="396" spans="1:9" customFormat="1" ht="16.5" x14ac:dyDescent="0.4">
      <c r="A396" s="42">
        <v>20240707</v>
      </c>
      <c r="B396" s="42" t="s">
        <v>27</v>
      </c>
      <c r="C396" s="19">
        <v>325421</v>
      </c>
      <c r="D396" s="19">
        <v>3843</v>
      </c>
      <c r="E396" s="20">
        <v>1.18E-2</v>
      </c>
      <c r="F396" s="19">
        <v>1273943</v>
      </c>
      <c r="G396" s="19">
        <v>6230</v>
      </c>
      <c r="H396" s="20">
        <v>4.8999999999999998E-3</v>
      </c>
      <c r="I396" s="21">
        <v>3.9148000000000001</v>
      </c>
    </row>
    <row r="397" spans="1:9" customFormat="1" ht="16.5" x14ac:dyDescent="0.4">
      <c r="A397" s="42">
        <v>20240706</v>
      </c>
      <c r="B397" s="42" t="s">
        <v>27</v>
      </c>
      <c r="C397" s="19">
        <v>341455</v>
      </c>
      <c r="D397" s="19">
        <v>4220</v>
      </c>
      <c r="E397" s="20">
        <v>1.24E-2</v>
      </c>
      <c r="F397" s="19">
        <v>1343106</v>
      </c>
      <c r="G397" s="19">
        <v>7037</v>
      </c>
      <c r="H397" s="20">
        <v>5.1999999999999998E-3</v>
      </c>
      <c r="I397" s="21">
        <v>3.9335</v>
      </c>
    </row>
    <row r="398" spans="1:9" customFormat="1" ht="16.5" x14ac:dyDescent="0.4">
      <c r="A398" s="42">
        <v>20240705</v>
      </c>
      <c r="B398" s="42" t="s">
        <v>27</v>
      </c>
      <c r="C398" s="19">
        <v>324475</v>
      </c>
      <c r="D398" s="19">
        <v>4073</v>
      </c>
      <c r="E398" s="20">
        <v>1.26E-2</v>
      </c>
      <c r="F398" s="19">
        <v>1347691</v>
      </c>
      <c r="G398" s="19">
        <v>6972</v>
      </c>
      <c r="H398" s="20">
        <v>5.1999999999999998E-3</v>
      </c>
      <c r="I398" s="21">
        <v>4.1535000000000002</v>
      </c>
    </row>
    <row r="399" spans="1:9" customFormat="1" ht="16.5" x14ac:dyDescent="0.4">
      <c r="A399" s="42">
        <v>20240704</v>
      </c>
      <c r="B399" s="42" t="s">
        <v>27</v>
      </c>
      <c r="C399" s="19">
        <v>298070</v>
      </c>
      <c r="D399" s="19">
        <v>3895</v>
      </c>
      <c r="E399" s="20">
        <v>1.3100000000000001E-2</v>
      </c>
      <c r="F399" s="19">
        <v>1302038</v>
      </c>
      <c r="G399" s="19">
        <v>6487</v>
      </c>
      <c r="H399" s="20">
        <v>5.0000000000000001E-3</v>
      </c>
      <c r="I399" s="21">
        <v>4.3681999999999999</v>
      </c>
    </row>
    <row r="400" spans="1:9" customFormat="1" ht="16.5" x14ac:dyDescent="0.4">
      <c r="A400" s="42">
        <v>20240703</v>
      </c>
      <c r="B400" s="42" t="s">
        <v>27</v>
      </c>
      <c r="C400" s="19">
        <v>305676</v>
      </c>
      <c r="D400" s="19">
        <v>4299</v>
      </c>
      <c r="E400" s="20">
        <v>1.41E-2</v>
      </c>
      <c r="F400" s="19">
        <v>1304943</v>
      </c>
      <c r="G400" s="19">
        <v>7073</v>
      </c>
      <c r="H400" s="20">
        <v>5.4000000000000003E-3</v>
      </c>
      <c r="I400" s="21">
        <v>4.2690000000000001</v>
      </c>
    </row>
    <row r="401" spans="1:12" customFormat="1" ht="16.5" x14ac:dyDescent="0.4">
      <c r="A401" s="42">
        <v>20240702</v>
      </c>
      <c r="B401" s="42" t="s">
        <v>27</v>
      </c>
      <c r="C401" s="19">
        <v>257893</v>
      </c>
      <c r="D401" s="19">
        <v>4118</v>
      </c>
      <c r="E401" s="20">
        <v>1.6E-2</v>
      </c>
      <c r="F401" s="19">
        <v>1360902</v>
      </c>
      <c r="G401" s="19">
        <v>7292</v>
      </c>
      <c r="H401" s="20">
        <v>5.4000000000000003E-3</v>
      </c>
      <c r="I401" s="21">
        <v>5.2770000000000001</v>
      </c>
    </row>
    <row r="402" spans="1:12" customFormat="1" ht="16.5" x14ac:dyDescent="0.4">
      <c r="A402" s="42">
        <v>20240701</v>
      </c>
      <c r="B402" s="42" t="s">
        <v>27</v>
      </c>
      <c r="C402" s="19">
        <v>272024</v>
      </c>
      <c r="D402" s="19">
        <v>3963</v>
      </c>
      <c r="E402" s="20">
        <v>1.46E-2</v>
      </c>
      <c r="F402" s="19">
        <v>1441785</v>
      </c>
      <c r="G402" s="19">
        <v>7127</v>
      </c>
      <c r="H402" s="20">
        <v>4.8999999999999998E-3</v>
      </c>
      <c r="I402" s="21">
        <v>5.3002000000000002</v>
      </c>
    </row>
    <row r="403" spans="1:12" ht="17.149999999999999" customHeight="1" x14ac:dyDescent="0.4">
      <c r="A403" s="22" t="s">
        <v>971</v>
      </c>
      <c r="B403" s="42" t="s">
        <v>27</v>
      </c>
      <c r="C403" s="19">
        <v>343130.8</v>
      </c>
      <c r="D403" s="19">
        <v>4249.333333333333</v>
      </c>
      <c r="E403" s="20">
        <v>1.2643333333333333E-2</v>
      </c>
      <c r="F403" s="19">
        <v>1459478.2</v>
      </c>
      <c r="G403" s="19">
        <v>6965.2333333333336</v>
      </c>
      <c r="H403" s="20">
        <v>4.7566666666666669E-3</v>
      </c>
      <c r="I403" s="21">
        <v>4.3555066666666669</v>
      </c>
      <c r="J403" s="2"/>
      <c r="K403" s="31"/>
      <c r="L403" s="31"/>
    </row>
    <row r="404" spans="1:12" ht="17.149999999999999" customHeight="1" x14ac:dyDescent="0.4">
      <c r="A404" s="22" t="s">
        <v>894</v>
      </c>
      <c r="B404" s="42" t="s">
        <v>27</v>
      </c>
      <c r="C404" s="19">
        <v>367903.19354838709</v>
      </c>
      <c r="D404" s="19">
        <v>5272.0967741935483</v>
      </c>
      <c r="E404" s="20">
        <v>1.4841935483870972E-2</v>
      </c>
      <c r="F404" s="19">
        <v>1588278.3225806451</v>
      </c>
      <c r="G404" s="19">
        <v>8335.5806451612898</v>
      </c>
      <c r="H404" s="20">
        <v>5.245161290322581E-3</v>
      </c>
      <c r="I404" s="21">
        <v>4.4224322580645161</v>
      </c>
      <c r="J404" s="2"/>
      <c r="K404" s="31"/>
      <c r="L404" s="31"/>
    </row>
    <row r="405" spans="1:12" ht="17.149999999999999" customHeight="1" x14ac:dyDescent="0.4">
      <c r="A405" s="22" t="s">
        <v>760</v>
      </c>
      <c r="B405" s="42" t="s">
        <v>27</v>
      </c>
      <c r="C405" s="19">
        <v>355471.36666666664</v>
      </c>
      <c r="D405" s="19">
        <v>5177.5333333333338</v>
      </c>
      <c r="E405" s="20">
        <v>1.4746666666666667E-2</v>
      </c>
      <c r="F405" s="19">
        <v>1689898.8333333333</v>
      </c>
      <c r="G405" s="19">
        <v>8106.7333333333336</v>
      </c>
      <c r="H405" s="20">
        <v>4.8033333333333348E-3</v>
      </c>
      <c r="I405" s="21">
        <v>4.8014633333333325</v>
      </c>
      <c r="J405" s="2"/>
      <c r="K405" s="31"/>
      <c r="L405" s="31"/>
    </row>
    <row r="406" spans="1:12" ht="17.149999999999999" customHeight="1" x14ac:dyDescent="0.4">
      <c r="A406" s="22" t="s">
        <v>663</v>
      </c>
      <c r="B406" s="42" t="s">
        <v>27</v>
      </c>
      <c r="C406" s="53">
        <v>407418.32258064515</v>
      </c>
      <c r="D406" s="53">
        <v>5435.7741935483873</v>
      </c>
      <c r="E406" s="89">
        <v>1.3661290322580642E-2</v>
      </c>
      <c r="F406" s="53">
        <v>1804100.5483870967</v>
      </c>
      <c r="G406" s="53">
        <v>8412.7741935483864</v>
      </c>
      <c r="H406" s="89">
        <v>4.6580645161290327E-3</v>
      </c>
      <c r="I406" s="56">
        <v>4.5114387096774182</v>
      </c>
      <c r="J406" s="2"/>
      <c r="K406" s="31"/>
      <c r="L406" s="31"/>
    </row>
    <row r="407" spans="1:12" ht="17.149999999999999" customHeight="1" x14ac:dyDescent="0.4">
      <c r="A407" s="22" t="s">
        <v>530</v>
      </c>
      <c r="B407" s="42" t="s">
        <v>27</v>
      </c>
      <c r="C407" s="53">
        <v>374911.3448275862</v>
      </c>
      <c r="D407" s="53">
        <v>4942.2068965517237</v>
      </c>
      <c r="E407" s="89">
        <v>1.3265517241379313E-2</v>
      </c>
      <c r="F407" s="53">
        <v>1792347.8275862068</v>
      </c>
      <c r="G407" s="53">
        <v>7760.0689655172409</v>
      </c>
      <c r="H407" s="89">
        <v>4.3206896551724128E-3</v>
      </c>
      <c r="I407" s="56">
        <v>4.8117655172413798</v>
      </c>
    </row>
    <row r="408" spans="1:12" ht="17.149999999999999" customHeight="1" x14ac:dyDescent="0.4">
      <c r="A408" s="22" t="s">
        <v>465</v>
      </c>
      <c r="B408" s="42" t="s">
        <v>27</v>
      </c>
      <c r="C408" s="53">
        <v>416936.32258064515</v>
      </c>
      <c r="D408" s="53">
        <v>5993.0967741935483</v>
      </c>
      <c r="E408" s="89">
        <v>1.4535483870967741E-2</v>
      </c>
      <c r="F408" s="53">
        <v>2234811.1935483869</v>
      </c>
      <c r="G408" s="53">
        <v>9491.645161290322</v>
      </c>
      <c r="H408" s="89">
        <v>4.2419354838709672E-3</v>
      </c>
      <c r="I408" s="56">
        <v>5.4287451612903226</v>
      </c>
    </row>
    <row r="409" spans="1:12" ht="17.149999999999999" customHeight="1" x14ac:dyDescent="0.4">
      <c r="A409" s="22" t="s">
        <v>215</v>
      </c>
      <c r="B409" s="42" t="s">
        <v>27</v>
      </c>
      <c r="C409" s="53">
        <v>447587.45161290321</v>
      </c>
      <c r="D409" s="53">
        <v>6878.2903225806449</v>
      </c>
      <c r="E409" s="89">
        <v>1.5783870967741937E-2</v>
      </c>
      <c r="F409" s="53">
        <v>2596040.5161290322</v>
      </c>
      <c r="G409" s="53">
        <v>10982.290322580646</v>
      </c>
      <c r="H409" s="89">
        <v>4.2322580645161294E-3</v>
      </c>
      <c r="I409" s="56">
        <v>5.9181935483870971</v>
      </c>
    </row>
    <row r="410" spans="1:12" ht="17.149999999999999" customHeight="1" x14ac:dyDescent="0.4">
      <c r="A410" s="22" t="s">
        <v>216</v>
      </c>
      <c r="B410" s="42" t="s">
        <v>27</v>
      </c>
      <c r="C410" s="53">
        <v>463408.6</v>
      </c>
      <c r="D410" s="53">
        <v>8194.9333333333325</v>
      </c>
      <c r="E410" s="89">
        <v>1.7859999999999994E-2</v>
      </c>
      <c r="F410" s="53">
        <v>2741378.6</v>
      </c>
      <c r="G410" s="53">
        <v>12891.6</v>
      </c>
      <c r="H410" s="89">
        <v>4.6966666666666676E-3</v>
      </c>
      <c r="I410" s="56">
        <v>6.0127033333333335</v>
      </c>
    </row>
    <row r="411" spans="1:12" ht="17.149999999999999" customHeight="1" x14ac:dyDescent="0.4">
      <c r="A411" s="22" t="s">
        <v>217</v>
      </c>
      <c r="B411" s="42" t="s">
        <v>27</v>
      </c>
      <c r="C411" s="53">
        <v>541448.77419354836</v>
      </c>
      <c r="D411" s="53">
        <v>9730.0645161290322</v>
      </c>
      <c r="E411" s="20">
        <v>1.8783870967741929E-2</v>
      </c>
      <c r="F411" s="53">
        <v>3054860.6129032257</v>
      </c>
      <c r="G411" s="53">
        <v>15609.806451612903</v>
      </c>
      <c r="H411" s="20">
        <v>5.1032258064516133E-3</v>
      </c>
      <c r="I411" s="56">
        <v>5.8870612903225812</v>
      </c>
      <c r="J411" s="31"/>
      <c r="K411" s="31"/>
      <c r="L411" s="31"/>
    </row>
    <row r="412" spans="1:12" ht="17.149999999999999" customHeight="1" x14ac:dyDescent="0.4">
      <c r="A412" s="22" t="s">
        <v>219</v>
      </c>
      <c r="B412" s="42" t="s">
        <v>27</v>
      </c>
      <c r="C412" s="53">
        <v>527081.73333333328</v>
      </c>
      <c r="D412" s="53">
        <v>10125.933333333332</v>
      </c>
      <c r="E412" s="20">
        <v>2.0190000000000003E-2</v>
      </c>
      <c r="F412" s="53">
        <v>3090559.8333333335</v>
      </c>
      <c r="G412" s="53">
        <v>15506.433333333332</v>
      </c>
      <c r="H412" s="20">
        <v>5.0066666666666671E-3</v>
      </c>
      <c r="I412" s="56">
        <v>6.1575133333333323</v>
      </c>
      <c r="J412" s="31"/>
      <c r="K412" s="31"/>
      <c r="L412" s="31"/>
    </row>
    <row r="413" spans="1:12" ht="17.149999999999999" customHeight="1" x14ac:dyDescent="0.4">
      <c r="A413" s="22" t="s">
        <v>220</v>
      </c>
      <c r="B413" s="42" t="s">
        <v>27</v>
      </c>
      <c r="C413" s="53">
        <v>514436.77419354836</v>
      </c>
      <c r="D413" s="53">
        <v>11518.483870967742</v>
      </c>
      <c r="E413" s="20">
        <v>2.239047527079412E-2</v>
      </c>
      <c r="F413" s="53">
        <v>3277759.5483870967</v>
      </c>
      <c r="G413" s="53">
        <v>17625.419354838708</v>
      </c>
      <c r="H413" s="20">
        <v>5.3772764886038495E-3</v>
      </c>
      <c r="I413" s="56">
        <v>6.706641935483872</v>
      </c>
      <c r="J413" s="31"/>
      <c r="K413" s="31"/>
      <c r="L413" s="31"/>
    </row>
    <row r="414" spans="1:12" ht="17.149999999999999" customHeight="1" x14ac:dyDescent="0.4">
      <c r="A414" s="22" t="s">
        <v>221</v>
      </c>
      <c r="B414" s="42" t="s">
        <v>243</v>
      </c>
      <c r="C414" s="19">
        <v>505289.38709677418</v>
      </c>
      <c r="D414" s="19">
        <v>11890.58064516129</v>
      </c>
      <c r="E414" s="20">
        <v>2.5148387096774187E-2</v>
      </c>
      <c r="F414" s="19">
        <v>3427889.8387096776</v>
      </c>
      <c r="G414" s="19">
        <v>18277.967741935485</v>
      </c>
      <c r="H414" s="20">
        <v>5.3483870967741941E-3</v>
      </c>
      <c r="I414" s="21">
        <v>7.2128225806451622</v>
      </c>
      <c r="J414" s="31"/>
      <c r="K414" s="31"/>
      <c r="L414" s="31"/>
    </row>
    <row r="415" spans="1:12" ht="17.149999999999999" customHeight="1" x14ac:dyDescent="0.4">
      <c r="C415" s="28"/>
      <c r="D415" s="28"/>
      <c r="E415" s="28"/>
      <c r="F415" s="28"/>
      <c r="G415" s="28"/>
      <c r="H415" s="28"/>
      <c r="I415" s="28"/>
      <c r="J415" s="31"/>
      <c r="K415" s="31"/>
      <c r="L415" s="31"/>
    </row>
    <row r="416" spans="1:12" s="2" customFormat="1" ht="16.5" x14ac:dyDescent="0.4">
      <c r="A416" s="25"/>
      <c r="B416" s="25"/>
      <c r="C416" s="25"/>
      <c r="D416" s="25"/>
      <c r="E416" s="25"/>
      <c r="F416" s="25"/>
      <c r="G416" s="25"/>
      <c r="H416" s="31"/>
      <c r="I416" s="31"/>
    </row>
    <row r="417" spans="1:9" s="2" customFormat="1" ht="18" customHeight="1" x14ac:dyDescent="0.25">
      <c r="A417" s="18" t="s">
        <v>3</v>
      </c>
      <c r="B417" s="18" t="s">
        <v>25</v>
      </c>
      <c r="C417" s="18" t="s">
        <v>5</v>
      </c>
      <c r="D417" s="18" t="s">
        <v>6</v>
      </c>
      <c r="E417" s="18" t="s">
        <v>7</v>
      </c>
      <c r="F417" s="18" t="s">
        <v>8</v>
      </c>
      <c r="G417" s="18" t="s">
        <v>9</v>
      </c>
      <c r="H417" s="18" t="s">
        <v>10</v>
      </c>
      <c r="I417" s="18" t="s">
        <v>11</v>
      </c>
    </row>
    <row r="418" spans="1:9" customFormat="1" ht="16.5" x14ac:dyDescent="0.4">
      <c r="A418" s="42">
        <v>20240716</v>
      </c>
      <c r="B418" s="42" t="s">
        <v>28</v>
      </c>
      <c r="C418" s="19">
        <v>1520817</v>
      </c>
      <c r="D418" s="19">
        <v>3038</v>
      </c>
      <c r="E418" s="20">
        <v>2E-3</v>
      </c>
      <c r="F418" s="19">
        <v>2910872</v>
      </c>
      <c r="G418" s="19">
        <v>3987</v>
      </c>
      <c r="H418" s="20">
        <v>1.4E-3</v>
      </c>
      <c r="I418" s="21">
        <v>1.9139999999999999</v>
      </c>
    </row>
    <row r="419" spans="1:9" customFormat="1" ht="16.5" x14ac:dyDescent="0.4">
      <c r="A419" s="42">
        <v>20240716</v>
      </c>
      <c r="B419" s="42" t="s">
        <v>28</v>
      </c>
      <c r="C419" s="19">
        <v>1520817</v>
      </c>
      <c r="D419" s="19">
        <v>3038</v>
      </c>
      <c r="E419" s="20">
        <v>2E-3</v>
      </c>
      <c r="F419" s="19">
        <v>2910872</v>
      </c>
      <c r="G419" s="19">
        <v>3987</v>
      </c>
      <c r="H419" s="20">
        <v>1.4E-3</v>
      </c>
      <c r="I419" s="21">
        <v>1.9139999999999999</v>
      </c>
    </row>
    <row r="420" spans="1:9" customFormat="1" ht="16.5" x14ac:dyDescent="0.4">
      <c r="A420" s="42">
        <v>20240715</v>
      </c>
      <c r="B420" s="42" t="s">
        <v>28</v>
      </c>
      <c r="C420" s="19">
        <v>1592166</v>
      </c>
      <c r="D420" s="19">
        <v>2716</v>
      </c>
      <c r="E420" s="20">
        <v>1.6999999999999999E-3</v>
      </c>
      <c r="F420" s="19">
        <v>3170241</v>
      </c>
      <c r="G420" s="19">
        <v>3598</v>
      </c>
      <c r="H420" s="20">
        <v>1.1000000000000001E-3</v>
      </c>
      <c r="I420" s="21">
        <v>1.9911000000000001</v>
      </c>
    </row>
    <row r="421" spans="1:9" customFormat="1" ht="16.5" x14ac:dyDescent="0.4">
      <c r="A421" s="42">
        <v>20240714</v>
      </c>
      <c r="B421" s="42" t="s">
        <v>28</v>
      </c>
      <c r="C421" s="19">
        <v>1731130</v>
      </c>
      <c r="D421" s="19">
        <v>2765</v>
      </c>
      <c r="E421" s="20">
        <v>1.6000000000000001E-3</v>
      </c>
      <c r="F421" s="19">
        <v>2470231</v>
      </c>
      <c r="G421" s="19">
        <v>4186</v>
      </c>
      <c r="H421" s="20">
        <v>1.6999999999999999E-3</v>
      </c>
      <c r="I421" s="21">
        <v>1.4269000000000001</v>
      </c>
    </row>
    <row r="422" spans="1:9" customFormat="1" ht="16.5" x14ac:dyDescent="0.4">
      <c r="A422" s="42">
        <v>20240713</v>
      </c>
      <c r="B422" s="42" t="s">
        <v>28</v>
      </c>
      <c r="C422" s="19">
        <v>2472488</v>
      </c>
      <c r="D422" s="19">
        <v>3601</v>
      </c>
      <c r="E422" s="20">
        <v>1.5E-3</v>
      </c>
      <c r="F422" s="19">
        <v>4035160</v>
      </c>
      <c r="G422" s="19">
        <v>4716</v>
      </c>
      <c r="H422" s="20">
        <v>1.1999999999999999E-3</v>
      </c>
      <c r="I422" s="21">
        <v>1.6319999999999999</v>
      </c>
    </row>
    <row r="423" spans="1:9" customFormat="1" ht="16.5" x14ac:dyDescent="0.4">
      <c r="A423" s="42">
        <v>20240712</v>
      </c>
      <c r="B423" s="42" t="s">
        <v>28</v>
      </c>
      <c r="C423" s="19">
        <v>2542802</v>
      </c>
      <c r="D423" s="19">
        <v>4248</v>
      </c>
      <c r="E423" s="20">
        <v>1.6999999999999999E-3</v>
      </c>
      <c r="F423" s="19">
        <v>4143495</v>
      </c>
      <c r="G423" s="19">
        <v>5608</v>
      </c>
      <c r="H423" s="20">
        <v>1.4E-3</v>
      </c>
      <c r="I423" s="21">
        <v>1.6294999999999999</v>
      </c>
    </row>
    <row r="424" spans="1:9" customFormat="1" ht="16.5" x14ac:dyDescent="0.4">
      <c r="A424" s="42">
        <v>20240711</v>
      </c>
      <c r="B424" s="42" t="s">
        <v>28</v>
      </c>
      <c r="C424" s="19">
        <v>2847511</v>
      </c>
      <c r="D424" s="19">
        <v>3672</v>
      </c>
      <c r="E424" s="20">
        <v>1.2999999999999999E-3</v>
      </c>
      <c r="F424" s="19">
        <v>5397793</v>
      </c>
      <c r="G424" s="19">
        <v>4976</v>
      </c>
      <c r="H424" s="20">
        <v>8.9999999999999998E-4</v>
      </c>
      <c r="I424" s="21">
        <v>1.8956</v>
      </c>
    </row>
    <row r="425" spans="1:9" customFormat="1" ht="16.5" x14ac:dyDescent="0.4">
      <c r="A425" s="42">
        <v>20240710</v>
      </c>
      <c r="B425" s="42" t="s">
        <v>28</v>
      </c>
      <c r="C425" s="19">
        <v>2518371</v>
      </c>
      <c r="D425" s="19">
        <v>4031</v>
      </c>
      <c r="E425" s="20">
        <v>1.6000000000000001E-3</v>
      </c>
      <c r="F425" s="19">
        <v>4193021</v>
      </c>
      <c r="G425" s="19">
        <v>5158</v>
      </c>
      <c r="H425" s="20">
        <v>1.1999999999999999E-3</v>
      </c>
      <c r="I425" s="21">
        <v>1.665</v>
      </c>
    </row>
    <row r="426" spans="1:9" customFormat="1" ht="16.5" x14ac:dyDescent="0.4">
      <c r="A426" s="42">
        <v>20240709</v>
      </c>
      <c r="B426" s="42" t="s">
        <v>28</v>
      </c>
      <c r="C426" s="19">
        <v>2331244</v>
      </c>
      <c r="D426" s="19">
        <v>4655</v>
      </c>
      <c r="E426" s="20">
        <v>2E-3</v>
      </c>
      <c r="F426" s="19">
        <v>5797663</v>
      </c>
      <c r="G426" s="19">
        <v>6038</v>
      </c>
      <c r="H426" s="20">
        <v>1E-3</v>
      </c>
      <c r="I426" s="21">
        <v>2.4868999999999999</v>
      </c>
    </row>
    <row r="427" spans="1:9" customFormat="1" ht="16.5" x14ac:dyDescent="0.4">
      <c r="A427" s="42">
        <v>20240708</v>
      </c>
      <c r="B427" s="42" t="s">
        <v>28</v>
      </c>
      <c r="C427" s="19">
        <v>2840775</v>
      </c>
      <c r="D427" s="19">
        <v>4386</v>
      </c>
      <c r="E427" s="20">
        <v>1.5E-3</v>
      </c>
      <c r="F427" s="19">
        <v>9479032</v>
      </c>
      <c r="G427" s="19">
        <v>5619</v>
      </c>
      <c r="H427" s="20">
        <v>5.9999999999999995E-4</v>
      </c>
      <c r="I427" s="21">
        <v>3.3368000000000002</v>
      </c>
    </row>
    <row r="428" spans="1:9" customFormat="1" ht="16.5" x14ac:dyDescent="0.4">
      <c r="A428" s="42">
        <v>20240707</v>
      </c>
      <c r="B428" s="42" t="s">
        <v>28</v>
      </c>
      <c r="C428" s="19">
        <v>2763875</v>
      </c>
      <c r="D428" s="19">
        <v>3475</v>
      </c>
      <c r="E428" s="20">
        <v>1.2999999999999999E-3</v>
      </c>
      <c r="F428" s="19">
        <v>6643068</v>
      </c>
      <c r="G428" s="19">
        <v>4528</v>
      </c>
      <c r="H428" s="20">
        <v>6.9999999999999999E-4</v>
      </c>
      <c r="I428" s="21">
        <v>2.4035000000000002</v>
      </c>
    </row>
    <row r="429" spans="1:9" customFormat="1" ht="16.5" x14ac:dyDescent="0.4">
      <c r="A429" s="42">
        <v>20240706</v>
      </c>
      <c r="B429" s="42" t="s">
        <v>28</v>
      </c>
      <c r="C429" s="19">
        <v>2839051</v>
      </c>
      <c r="D429" s="19">
        <v>3558</v>
      </c>
      <c r="E429" s="20">
        <v>1.2999999999999999E-3</v>
      </c>
      <c r="F429" s="19">
        <v>6228803</v>
      </c>
      <c r="G429" s="19">
        <v>4691</v>
      </c>
      <c r="H429" s="20">
        <v>8.0000000000000004E-4</v>
      </c>
      <c r="I429" s="21">
        <v>2.194</v>
      </c>
    </row>
    <row r="430" spans="1:9" customFormat="1" ht="16.5" x14ac:dyDescent="0.4">
      <c r="A430" s="42">
        <v>20240705</v>
      </c>
      <c r="B430" s="42" t="s">
        <v>28</v>
      </c>
      <c r="C430" s="19">
        <v>2826469</v>
      </c>
      <c r="D430" s="19">
        <v>3331</v>
      </c>
      <c r="E430" s="20">
        <v>1.1999999999999999E-3</v>
      </c>
      <c r="F430" s="19">
        <v>6434837</v>
      </c>
      <c r="G430" s="19">
        <v>4466</v>
      </c>
      <c r="H430" s="20">
        <v>6.9999999999999999E-4</v>
      </c>
      <c r="I430" s="21">
        <v>2.2766000000000002</v>
      </c>
    </row>
    <row r="431" spans="1:9" customFormat="1" ht="16.5" x14ac:dyDescent="0.4">
      <c r="A431" s="42">
        <v>20240704</v>
      </c>
      <c r="B431" s="42" t="s">
        <v>28</v>
      </c>
      <c r="C431" s="19">
        <v>2303359</v>
      </c>
      <c r="D431" s="19">
        <v>3616</v>
      </c>
      <c r="E431" s="20">
        <v>1.6000000000000001E-3</v>
      </c>
      <c r="F431" s="19">
        <v>5852813</v>
      </c>
      <c r="G431" s="19">
        <v>4582</v>
      </c>
      <c r="H431" s="20">
        <v>8.0000000000000004E-4</v>
      </c>
      <c r="I431" s="21">
        <v>2.5409999999999999</v>
      </c>
    </row>
    <row r="432" spans="1:9" customFormat="1" ht="16.5" x14ac:dyDescent="0.4">
      <c r="A432" s="42">
        <v>20240703</v>
      </c>
      <c r="B432" s="42" t="s">
        <v>28</v>
      </c>
      <c r="C432" s="19">
        <v>2042358</v>
      </c>
      <c r="D432" s="19">
        <v>3861</v>
      </c>
      <c r="E432" s="20">
        <v>1.9E-3</v>
      </c>
      <c r="F432" s="19">
        <v>5285406</v>
      </c>
      <c r="G432" s="19">
        <v>4994</v>
      </c>
      <c r="H432" s="20">
        <v>8.9999999999999998E-4</v>
      </c>
      <c r="I432" s="21">
        <v>2.5878999999999999</v>
      </c>
    </row>
    <row r="433" spans="1:12" customFormat="1" ht="16.5" x14ac:dyDescent="0.4">
      <c r="A433" s="42">
        <v>20240702</v>
      </c>
      <c r="B433" s="42" t="s">
        <v>28</v>
      </c>
      <c r="C433" s="19">
        <v>2116678</v>
      </c>
      <c r="D433" s="19">
        <v>3180</v>
      </c>
      <c r="E433" s="20">
        <v>1.5E-3</v>
      </c>
      <c r="F433" s="19">
        <v>5035853</v>
      </c>
      <c r="G433" s="19">
        <v>4315</v>
      </c>
      <c r="H433" s="20">
        <v>8.9999999999999998E-4</v>
      </c>
      <c r="I433" s="21">
        <v>2.3791000000000002</v>
      </c>
    </row>
    <row r="434" spans="1:12" customFormat="1" ht="16.5" x14ac:dyDescent="0.4">
      <c r="A434" s="42">
        <v>20240701</v>
      </c>
      <c r="B434" s="42" t="s">
        <v>28</v>
      </c>
      <c r="C434" s="19">
        <v>1785917</v>
      </c>
      <c r="D434" s="19">
        <v>2891</v>
      </c>
      <c r="E434" s="20">
        <v>1.6000000000000001E-3</v>
      </c>
      <c r="F434" s="19">
        <v>4510967</v>
      </c>
      <c r="G434" s="19">
        <v>3979</v>
      </c>
      <c r="H434" s="20">
        <v>8.9999999999999998E-4</v>
      </c>
      <c r="I434" s="21">
        <v>2.5259</v>
      </c>
    </row>
    <row r="435" spans="1:12" ht="17.149999999999999" customHeight="1" x14ac:dyDescent="0.4">
      <c r="A435" s="22" t="s">
        <v>971</v>
      </c>
      <c r="B435" s="42" t="s">
        <v>28</v>
      </c>
      <c r="C435" s="19">
        <v>2435015.2666666666</v>
      </c>
      <c r="D435" s="19">
        <v>3428.2333333333331</v>
      </c>
      <c r="E435" s="20">
        <v>1.4499999999999992E-3</v>
      </c>
      <c r="F435" s="19">
        <v>6072091.8666666662</v>
      </c>
      <c r="G435" s="19">
        <v>4494.1333333333332</v>
      </c>
      <c r="H435" s="20">
        <v>7.6000000000000004E-4</v>
      </c>
      <c r="I435" s="21">
        <v>2.4912333333333327</v>
      </c>
      <c r="J435" s="2"/>
      <c r="K435" s="31"/>
      <c r="L435" s="31"/>
    </row>
    <row r="436" spans="1:12" ht="17.149999999999999" customHeight="1" x14ac:dyDescent="0.4">
      <c r="A436" s="22" t="s">
        <v>890</v>
      </c>
      <c r="B436" s="42" t="s">
        <v>28</v>
      </c>
      <c r="C436" s="19">
        <v>2431580.064516129</v>
      </c>
      <c r="D436" s="19">
        <v>3003.1935483870966</v>
      </c>
      <c r="E436" s="20">
        <v>1.3225806451612903E-3</v>
      </c>
      <c r="F436" s="19">
        <v>5284929.9032258065</v>
      </c>
      <c r="G436" s="19">
        <v>4053.6774193548385</v>
      </c>
      <c r="H436" s="20">
        <v>8.0967741935483847E-4</v>
      </c>
      <c r="I436" s="21">
        <v>2.1784903225806453</v>
      </c>
      <c r="J436" s="2"/>
      <c r="K436" s="31"/>
      <c r="L436" s="31"/>
    </row>
    <row r="437" spans="1:12" ht="17.149999999999999" customHeight="1" x14ac:dyDescent="0.4">
      <c r="A437" s="22" t="s">
        <v>755</v>
      </c>
      <c r="B437" s="42" t="s">
        <v>28</v>
      </c>
      <c r="C437" s="19">
        <v>2361184</v>
      </c>
      <c r="D437" s="19">
        <v>2826.3333333333335</v>
      </c>
      <c r="E437" s="20">
        <v>1.1933333333333334E-3</v>
      </c>
      <c r="F437" s="19">
        <v>4618161.5</v>
      </c>
      <c r="G437" s="19">
        <v>3816.3333333333335</v>
      </c>
      <c r="H437" s="20">
        <v>8.2999999999999979E-4</v>
      </c>
      <c r="I437" s="21">
        <v>1.9576299999999998</v>
      </c>
      <c r="J437" s="2"/>
      <c r="K437" s="31"/>
      <c r="L437" s="31"/>
    </row>
    <row r="438" spans="1:12" ht="17.149999999999999" customHeight="1" x14ac:dyDescent="0.4">
      <c r="A438" s="22" t="s">
        <v>663</v>
      </c>
      <c r="B438" s="42" t="s">
        <v>28</v>
      </c>
      <c r="C438" s="53">
        <v>2395865.2580645164</v>
      </c>
      <c r="D438" s="53">
        <v>2972.0967741935483</v>
      </c>
      <c r="E438" s="89">
        <v>1.2290322580645161E-3</v>
      </c>
      <c r="F438" s="53">
        <v>4856352.2903225804</v>
      </c>
      <c r="G438" s="53">
        <v>3990.2580645161293</v>
      </c>
      <c r="H438" s="89">
        <v>8.2903225806451599E-4</v>
      </c>
      <c r="I438" s="56">
        <v>2.0306935483870969</v>
      </c>
      <c r="J438" s="2"/>
      <c r="K438" s="31"/>
      <c r="L438" s="31"/>
    </row>
    <row r="439" spans="1:12" ht="17.149999999999999" customHeight="1" x14ac:dyDescent="0.4">
      <c r="A439" s="22" t="s">
        <v>541</v>
      </c>
      <c r="B439" s="42" t="s">
        <v>28</v>
      </c>
      <c r="C439" s="53">
        <v>2373792.3448275863</v>
      </c>
      <c r="D439" s="53">
        <v>2733.5862068965516</v>
      </c>
      <c r="E439" s="89">
        <v>1.1448275862068968E-3</v>
      </c>
      <c r="F439" s="53">
        <v>4936668.2068965519</v>
      </c>
      <c r="G439" s="53">
        <v>3731.8620689655172</v>
      </c>
      <c r="H439" s="89">
        <v>7.6206896551724111E-4</v>
      </c>
      <c r="I439" s="56">
        <v>2.0795517241379313</v>
      </c>
    </row>
    <row r="440" spans="1:12" ht="17.149999999999999" customHeight="1" x14ac:dyDescent="0.4">
      <c r="A440" s="22" t="s">
        <v>464</v>
      </c>
      <c r="B440" s="42" t="s">
        <v>28</v>
      </c>
      <c r="C440" s="53">
        <v>2362085.935483871</v>
      </c>
      <c r="D440" s="53">
        <v>3054.8064516129034</v>
      </c>
      <c r="E440" s="89">
        <v>1.2967741935483868E-3</v>
      </c>
      <c r="F440" s="53">
        <v>4973916.4838709673</v>
      </c>
      <c r="G440" s="53">
        <v>4189.3548387096771</v>
      </c>
      <c r="H440" s="89">
        <v>8.4838709677419351E-4</v>
      </c>
      <c r="I440" s="56">
        <v>2.1069</v>
      </c>
    </row>
    <row r="441" spans="1:12" ht="17.149999999999999" customHeight="1" x14ac:dyDescent="0.4">
      <c r="A441" s="22" t="s">
        <v>215</v>
      </c>
      <c r="B441" s="42" t="s">
        <v>28</v>
      </c>
      <c r="C441" s="53">
        <v>2428013.935483871</v>
      </c>
      <c r="D441" s="53">
        <v>3550.1290322580644</v>
      </c>
      <c r="E441" s="89">
        <v>1.4645161290322574E-3</v>
      </c>
      <c r="F441" s="53">
        <v>5399395.7741935486</v>
      </c>
      <c r="G441" s="53">
        <v>4904.7419354838712</v>
      </c>
      <c r="H441" s="89">
        <v>9.0967741935483939E-4</v>
      </c>
      <c r="I441" s="56">
        <v>2.2251387096774189</v>
      </c>
    </row>
    <row r="442" spans="1:12" ht="17.149999999999999" customHeight="1" x14ac:dyDescent="0.4">
      <c r="A442" s="22" t="s">
        <v>216</v>
      </c>
      <c r="B442" s="42" t="s">
        <v>28</v>
      </c>
      <c r="C442" s="53">
        <v>2339904.6666666665</v>
      </c>
      <c r="D442" s="53">
        <v>3903.6666666666665</v>
      </c>
      <c r="E442" s="89">
        <v>1.6666666666666668E-3</v>
      </c>
      <c r="F442" s="53">
        <v>5213897.7666666666</v>
      </c>
      <c r="G442" s="53">
        <v>5398.7</v>
      </c>
      <c r="H442" s="89">
        <v>1.0400000000000001E-3</v>
      </c>
      <c r="I442" s="56">
        <v>2.2279733333333338</v>
      </c>
    </row>
    <row r="443" spans="1:12" ht="17.149999999999999" customHeight="1" x14ac:dyDescent="0.4">
      <c r="A443" s="22" t="s">
        <v>217</v>
      </c>
      <c r="B443" s="42" t="s">
        <v>28</v>
      </c>
      <c r="C443" s="53">
        <v>2324242.3548387098</v>
      </c>
      <c r="D443" s="53">
        <v>4367.0967741935483</v>
      </c>
      <c r="E443" s="20">
        <v>1.8870967741935485E-3</v>
      </c>
      <c r="F443" s="53">
        <v>5055188.6129032262</v>
      </c>
      <c r="G443" s="53">
        <v>6158.7096774193551</v>
      </c>
      <c r="H443" s="20">
        <v>1.2129032258064516E-3</v>
      </c>
      <c r="I443" s="56">
        <v>2.1784451612903228</v>
      </c>
    </row>
    <row r="444" spans="1:12" ht="17.149999999999999" customHeight="1" x14ac:dyDescent="0.4">
      <c r="A444" s="22" t="s">
        <v>241</v>
      </c>
      <c r="B444" s="42" t="s">
        <v>28</v>
      </c>
      <c r="C444" s="53">
        <v>2290256.4333333331</v>
      </c>
      <c r="D444" s="53">
        <v>4328.6000000000004</v>
      </c>
      <c r="E444" s="20">
        <v>1.8833333333333334E-3</v>
      </c>
      <c r="F444" s="53">
        <v>5062885.4666666668</v>
      </c>
      <c r="G444" s="53">
        <v>5883.7</v>
      </c>
      <c r="H444" s="20">
        <v>1.1566666666666667E-3</v>
      </c>
      <c r="I444" s="56">
        <v>2.2142033333333333</v>
      </c>
      <c r="J444" s="31"/>
      <c r="K444" s="31"/>
      <c r="L444" s="31"/>
    </row>
    <row r="445" spans="1:12" ht="17.149999999999999" customHeight="1" x14ac:dyDescent="0.4">
      <c r="A445" s="22" t="s">
        <v>220</v>
      </c>
      <c r="B445" s="42" t="s">
        <v>28</v>
      </c>
      <c r="C445" s="53">
        <v>2215599.2580645164</v>
      </c>
      <c r="D445" s="53">
        <v>4903</v>
      </c>
      <c r="E445" s="20">
        <v>2.2129453158795148E-3</v>
      </c>
      <c r="F445" s="53">
        <v>5169198.2903225804</v>
      </c>
      <c r="G445" s="53">
        <v>6500.0967741935483</v>
      </c>
      <c r="H445" s="20">
        <v>1.2574670982079725E-3</v>
      </c>
      <c r="I445" s="56">
        <v>2.326883870967742</v>
      </c>
      <c r="J445" s="31"/>
      <c r="K445" s="31"/>
      <c r="L445" s="31"/>
    </row>
    <row r="446" spans="1:12" ht="16.5" customHeight="1" x14ac:dyDescent="0.4">
      <c r="A446" s="22" t="s">
        <v>221</v>
      </c>
      <c r="B446" s="42" t="s">
        <v>244</v>
      </c>
      <c r="C446" s="19">
        <v>2179253.8387096776</v>
      </c>
      <c r="D446" s="19">
        <v>5101.9677419354839</v>
      </c>
      <c r="E446" s="20">
        <v>2.3483870967741932E-3</v>
      </c>
      <c r="F446" s="19">
        <v>5228300.1290322579</v>
      </c>
      <c r="G446" s="19">
        <v>6643.0645161290322</v>
      </c>
      <c r="H446" s="20">
        <v>1.2677419354838709E-3</v>
      </c>
      <c r="I446" s="21">
        <v>2.3987774193548388</v>
      </c>
      <c r="J446" s="31"/>
      <c r="K446" s="31"/>
      <c r="L446" s="31"/>
    </row>
    <row r="447" spans="1:12" ht="17.149999999999999" customHeight="1" x14ac:dyDescent="0.4">
      <c r="C447" s="28"/>
      <c r="D447" s="28"/>
      <c r="E447" s="28"/>
      <c r="F447" s="28"/>
      <c r="G447" s="28"/>
      <c r="H447" s="28"/>
      <c r="I447" s="28"/>
      <c r="J447" s="31"/>
      <c r="K447" s="31"/>
      <c r="L447" s="31"/>
    </row>
    <row r="448" spans="1:12" s="2" customFormat="1" ht="16.5" x14ac:dyDescent="0.4">
      <c r="A448" s="25"/>
      <c r="B448" s="25"/>
      <c r="C448" s="25"/>
      <c r="D448" s="25"/>
      <c r="E448" s="25"/>
      <c r="F448" s="25"/>
      <c r="G448" s="25"/>
      <c r="H448" s="31"/>
      <c r="I448" s="31"/>
    </row>
    <row r="449" spans="1:9" s="2" customFormat="1" ht="15" x14ac:dyDescent="0.25">
      <c r="A449" s="18" t="s">
        <v>3</v>
      </c>
      <c r="B449" s="18" t="s">
        <v>25</v>
      </c>
      <c r="C449" s="18" t="s">
        <v>5</v>
      </c>
      <c r="D449" s="18" t="s">
        <v>6</v>
      </c>
      <c r="E449" s="18" t="s">
        <v>7</v>
      </c>
      <c r="F449" s="18" t="s">
        <v>8</v>
      </c>
      <c r="G449" s="18" t="s">
        <v>9</v>
      </c>
      <c r="H449" s="18" t="s">
        <v>10</v>
      </c>
      <c r="I449" s="18" t="s">
        <v>11</v>
      </c>
    </row>
    <row r="450" spans="1:9" customFormat="1" ht="16.5" x14ac:dyDescent="0.4">
      <c r="A450" s="42">
        <v>20240716</v>
      </c>
      <c r="B450" s="42" t="s">
        <v>29</v>
      </c>
      <c r="C450" s="19">
        <v>377233</v>
      </c>
      <c r="D450" s="19">
        <v>6477</v>
      </c>
      <c r="E450" s="20">
        <v>1.72E-2</v>
      </c>
      <c r="F450" s="19">
        <v>1658543</v>
      </c>
      <c r="G450" s="19">
        <v>10193</v>
      </c>
      <c r="H450" s="20">
        <v>6.1000000000000004E-3</v>
      </c>
      <c r="I450" s="21">
        <v>4.3966000000000003</v>
      </c>
    </row>
    <row r="451" spans="1:9" customFormat="1" ht="16.5" x14ac:dyDescent="0.4">
      <c r="A451" s="42">
        <v>20240716</v>
      </c>
      <c r="B451" s="42" t="s">
        <v>29</v>
      </c>
      <c r="C451" s="19">
        <v>377233</v>
      </c>
      <c r="D451" s="19">
        <v>6477</v>
      </c>
      <c r="E451" s="20">
        <v>1.72E-2</v>
      </c>
      <c r="F451" s="19">
        <v>1658543</v>
      </c>
      <c r="G451" s="19">
        <v>10193</v>
      </c>
      <c r="H451" s="20">
        <v>6.1000000000000004E-3</v>
      </c>
      <c r="I451" s="21">
        <v>4.3966000000000003</v>
      </c>
    </row>
    <row r="452" spans="1:9" customFormat="1" ht="16.5" x14ac:dyDescent="0.4">
      <c r="A452" s="42">
        <v>20240715</v>
      </c>
      <c r="B452" s="42" t="s">
        <v>29</v>
      </c>
      <c r="C452" s="19">
        <v>371742</v>
      </c>
      <c r="D452" s="19">
        <v>6805</v>
      </c>
      <c r="E452" s="20">
        <v>1.83E-2</v>
      </c>
      <c r="F452" s="19">
        <v>1669124</v>
      </c>
      <c r="G452" s="19">
        <v>10550</v>
      </c>
      <c r="H452" s="20">
        <v>6.3E-3</v>
      </c>
      <c r="I452" s="21">
        <v>4.49</v>
      </c>
    </row>
    <row r="453" spans="1:9" customFormat="1" ht="16.5" x14ac:dyDescent="0.4">
      <c r="A453" s="42">
        <v>20240714</v>
      </c>
      <c r="B453" s="42" t="s">
        <v>29</v>
      </c>
      <c r="C453" s="19">
        <v>365592</v>
      </c>
      <c r="D453" s="19">
        <v>8051</v>
      </c>
      <c r="E453" s="20">
        <v>2.1999999999999999E-2</v>
      </c>
      <c r="F453" s="19">
        <v>1858843</v>
      </c>
      <c r="G453" s="19">
        <v>14612</v>
      </c>
      <c r="H453" s="20">
        <v>7.9000000000000008E-3</v>
      </c>
      <c r="I453" s="21">
        <v>5.0845000000000002</v>
      </c>
    </row>
    <row r="454" spans="1:9" customFormat="1" ht="16.5" x14ac:dyDescent="0.4">
      <c r="A454" s="42">
        <v>20240713</v>
      </c>
      <c r="B454" s="42" t="s">
        <v>29</v>
      </c>
      <c r="C454" s="19">
        <v>368387</v>
      </c>
      <c r="D454" s="19">
        <v>6348</v>
      </c>
      <c r="E454" s="20">
        <v>1.72E-2</v>
      </c>
      <c r="F454" s="19">
        <v>1532724</v>
      </c>
      <c r="G454" s="19">
        <v>9939</v>
      </c>
      <c r="H454" s="20">
        <v>6.4999999999999997E-3</v>
      </c>
      <c r="I454" s="21">
        <v>4.1605999999999996</v>
      </c>
    </row>
    <row r="455" spans="1:9" customFormat="1" ht="16.5" x14ac:dyDescent="0.4">
      <c r="A455" s="42">
        <v>20240712</v>
      </c>
      <c r="B455" s="42" t="s">
        <v>29</v>
      </c>
      <c r="C455" s="19">
        <v>371612</v>
      </c>
      <c r="D455" s="19">
        <v>6992</v>
      </c>
      <c r="E455" s="20">
        <v>1.8800000000000001E-2</v>
      </c>
      <c r="F455" s="19">
        <v>1616036</v>
      </c>
      <c r="G455" s="19">
        <v>11048</v>
      </c>
      <c r="H455" s="20">
        <v>6.7999999999999996E-3</v>
      </c>
      <c r="I455" s="21">
        <v>4.3487</v>
      </c>
    </row>
    <row r="456" spans="1:9" customFormat="1" ht="16.5" x14ac:dyDescent="0.4">
      <c r="A456" s="42">
        <v>20240711</v>
      </c>
      <c r="B456" s="42" t="s">
        <v>29</v>
      </c>
      <c r="C456" s="19">
        <v>385053</v>
      </c>
      <c r="D456" s="19">
        <v>6749</v>
      </c>
      <c r="E456" s="20">
        <v>1.7500000000000002E-2</v>
      </c>
      <c r="F456" s="19">
        <v>1562843</v>
      </c>
      <c r="G456" s="19">
        <v>10293</v>
      </c>
      <c r="H456" s="20">
        <v>6.6E-3</v>
      </c>
      <c r="I456" s="21">
        <v>4.0587999999999997</v>
      </c>
    </row>
    <row r="457" spans="1:9" customFormat="1" ht="16.5" x14ac:dyDescent="0.4">
      <c r="A457" s="42">
        <v>20240710</v>
      </c>
      <c r="B457" s="42" t="s">
        <v>29</v>
      </c>
      <c r="C457" s="19">
        <v>398381</v>
      </c>
      <c r="D457" s="19">
        <v>6782</v>
      </c>
      <c r="E457" s="20">
        <v>1.7000000000000001E-2</v>
      </c>
      <c r="F457" s="19">
        <v>1641023</v>
      </c>
      <c r="G457" s="19">
        <v>10480</v>
      </c>
      <c r="H457" s="20">
        <v>6.4000000000000003E-3</v>
      </c>
      <c r="I457" s="21">
        <v>4.1192000000000002</v>
      </c>
    </row>
    <row r="458" spans="1:9" customFormat="1" ht="16.5" x14ac:dyDescent="0.4">
      <c r="A458" s="42">
        <v>20240709</v>
      </c>
      <c r="B458" s="42" t="s">
        <v>29</v>
      </c>
      <c r="C458" s="19">
        <v>429253</v>
      </c>
      <c r="D458" s="19">
        <v>8229</v>
      </c>
      <c r="E458" s="20">
        <v>1.9199999999999998E-2</v>
      </c>
      <c r="F458" s="19">
        <v>1720781</v>
      </c>
      <c r="G458" s="19">
        <v>12559</v>
      </c>
      <c r="H458" s="20">
        <v>7.3000000000000001E-3</v>
      </c>
      <c r="I458" s="21">
        <v>4.0087999999999999</v>
      </c>
    </row>
    <row r="459" spans="1:9" customFormat="1" ht="16.5" x14ac:dyDescent="0.4">
      <c r="A459" s="42">
        <v>20240708</v>
      </c>
      <c r="B459" s="42" t="s">
        <v>29</v>
      </c>
      <c r="C459" s="19">
        <v>528229</v>
      </c>
      <c r="D459" s="19">
        <v>7412</v>
      </c>
      <c r="E459" s="20">
        <v>1.4E-2</v>
      </c>
      <c r="F459" s="19">
        <v>2041233</v>
      </c>
      <c r="G459" s="19">
        <v>10710</v>
      </c>
      <c r="H459" s="20">
        <v>5.1999999999999998E-3</v>
      </c>
      <c r="I459" s="21">
        <v>3.8643000000000001</v>
      </c>
    </row>
    <row r="460" spans="1:9" customFormat="1" ht="16.5" x14ac:dyDescent="0.4">
      <c r="A460" s="42">
        <v>20240707</v>
      </c>
      <c r="B460" s="42" t="s">
        <v>29</v>
      </c>
      <c r="C460" s="19">
        <v>410094</v>
      </c>
      <c r="D460" s="19">
        <v>6844</v>
      </c>
      <c r="E460" s="20">
        <v>1.67E-2</v>
      </c>
      <c r="F460" s="19">
        <v>1543702</v>
      </c>
      <c r="G460" s="19">
        <v>10232</v>
      </c>
      <c r="H460" s="20">
        <v>6.6E-3</v>
      </c>
      <c r="I460" s="21">
        <v>3.7643</v>
      </c>
    </row>
    <row r="461" spans="1:9" customFormat="1" ht="16.5" x14ac:dyDescent="0.4">
      <c r="A461" s="42">
        <v>20240706</v>
      </c>
      <c r="B461" s="42" t="s">
        <v>29</v>
      </c>
      <c r="C461" s="19">
        <v>431838</v>
      </c>
      <c r="D461" s="19">
        <v>6947</v>
      </c>
      <c r="E461" s="20">
        <v>1.61E-2</v>
      </c>
      <c r="F461" s="19">
        <v>1727525</v>
      </c>
      <c r="G461" s="19">
        <v>10848</v>
      </c>
      <c r="H461" s="20">
        <v>6.3E-3</v>
      </c>
      <c r="I461" s="21">
        <v>4.0004</v>
      </c>
    </row>
    <row r="462" spans="1:9" customFormat="1" ht="16.5" x14ac:dyDescent="0.4">
      <c r="A462" s="42">
        <v>20240705</v>
      </c>
      <c r="B462" s="42" t="s">
        <v>29</v>
      </c>
      <c r="C462" s="19">
        <v>409510</v>
      </c>
      <c r="D462" s="19">
        <v>6800</v>
      </c>
      <c r="E462" s="20">
        <v>1.66E-2</v>
      </c>
      <c r="F462" s="19">
        <v>1669216</v>
      </c>
      <c r="G462" s="19">
        <v>10735</v>
      </c>
      <c r="H462" s="20">
        <v>6.4000000000000003E-3</v>
      </c>
      <c r="I462" s="21">
        <v>4.0761000000000003</v>
      </c>
    </row>
    <row r="463" spans="1:9" customFormat="1" ht="16.5" x14ac:dyDescent="0.4">
      <c r="A463" s="42">
        <v>20240704</v>
      </c>
      <c r="B463" s="42" t="s">
        <v>29</v>
      </c>
      <c r="C463" s="19">
        <v>401580</v>
      </c>
      <c r="D463" s="19">
        <v>6426</v>
      </c>
      <c r="E463" s="20">
        <v>1.6E-2</v>
      </c>
      <c r="F463" s="19">
        <v>1651871</v>
      </c>
      <c r="G463" s="19">
        <v>9811</v>
      </c>
      <c r="H463" s="20">
        <v>5.8999999999999999E-3</v>
      </c>
      <c r="I463" s="21">
        <v>4.1134000000000004</v>
      </c>
    </row>
    <row r="464" spans="1:9" customFormat="1" ht="16.5" x14ac:dyDescent="0.4">
      <c r="A464" s="42">
        <v>20240703</v>
      </c>
      <c r="B464" s="42" t="s">
        <v>29</v>
      </c>
      <c r="C464" s="19">
        <v>384841</v>
      </c>
      <c r="D464" s="19">
        <v>6699</v>
      </c>
      <c r="E464" s="20">
        <v>1.7399999999999999E-2</v>
      </c>
      <c r="F464" s="19">
        <v>1507965</v>
      </c>
      <c r="G464" s="19">
        <v>10168</v>
      </c>
      <c r="H464" s="20">
        <v>6.7000000000000002E-3</v>
      </c>
      <c r="I464" s="21">
        <v>3.9184000000000001</v>
      </c>
    </row>
    <row r="465" spans="1:12" customFormat="1" ht="16.5" x14ac:dyDescent="0.4">
      <c r="A465" s="42">
        <v>20240702</v>
      </c>
      <c r="B465" s="42" t="s">
        <v>29</v>
      </c>
      <c r="C465" s="19">
        <v>362257</v>
      </c>
      <c r="D465" s="19">
        <v>6614</v>
      </c>
      <c r="E465" s="20">
        <v>1.83E-2</v>
      </c>
      <c r="F465" s="19">
        <v>1517243</v>
      </c>
      <c r="G465" s="19">
        <v>10247</v>
      </c>
      <c r="H465" s="20">
        <v>6.7999999999999996E-3</v>
      </c>
      <c r="I465" s="21">
        <v>4.1882999999999999</v>
      </c>
    </row>
    <row r="466" spans="1:12" customFormat="1" ht="16.5" x14ac:dyDescent="0.4">
      <c r="A466" s="42">
        <v>20240701</v>
      </c>
      <c r="B466" s="42" t="s">
        <v>29</v>
      </c>
      <c r="C466" s="19">
        <v>356145</v>
      </c>
      <c r="D466" s="19">
        <v>7173</v>
      </c>
      <c r="E466" s="20">
        <v>2.01E-2</v>
      </c>
      <c r="F466" s="19">
        <v>1648426</v>
      </c>
      <c r="G466" s="19">
        <v>11968</v>
      </c>
      <c r="H466" s="20">
        <v>7.3000000000000001E-3</v>
      </c>
      <c r="I466" s="21">
        <v>4.6284999999999998</v>
      </c>
    </row>
    <row r="467" spans="1:12" ht="17.149999999999999" customHeight="1" x14ac:dyDescent="0.4">
      <c r="A467" s="22" t="s">
        <v>971</v>
      </c>
      <c r="B467" s="42" t="s">
        <v>29</v>
      </c>
      <c r="C467" s="19">
        <v>430135.16666666669</v>
      </c>
      <c r="D467" s="19">
        <v>5978.6</v>
      </c>
      <c r="E467" s="20">
        <v>1.4589999999999999E-2</v>
      </c>
      <c r="F467" s="19">
        <v>1647520.9</v>
      </c>
      <c r="G467" s="19">
        <v>9528.2999999999993</v>
      </c>
      <c r="H467" s="20">
        <v>5.6400000000000009E-3</v>
      </c>
      <c r="I467" s="21">
        <v>3.9379599999999999</v>
      </c>
      <c r="J467" s="2"/>
      <c r="K467" s="31"/>
      <c r="L467" s="31"/>
    </row>
    <row r="468" spans="1:12" ht="17.149999999999999" customHeight="1" x14ac:dyDescent="0.4">
      <c r="A468" s="22" t="s">
        <v>896</v>
      </c>
      <c r="B468" s="42" t="s">
        <v>29</v>
      </c>
      <c r="C468" s="19">
        <v>371473.90322580643</v>
      </c>
      <c r="D468" s="19">
        <v>6591.0322580645161</v>
      </c>
      <c r="E468" s="20">
        <v>1.8206451612903223E-2</v>
      </c>
      <c r="F468" s="19">
        <v>1616471.9677419355</v>
      </c>
      <c r="G468" s="19">
        <v>10788.387096774193</v>
      </c>
      <c r="H468" s="20">
        <v>6.625806451612903E-3</v>
      </c>
      <c r="I468" s="21">
        <v>4.4529806451612908</v>
      </c>
      <c r="J468" s="2"/>
      <c r="K468" s="31"/>
      <c r="L468" s="31"/>
    </row>
    <row r="469" spans="1:12" ht="17.149999999999999" customHeight="1" x14ac:dyDescent="0.4">
      <c r="A469" s="22" t="s">
        <v>755</v>
      </c>
      <c r="B469" s="42" t="s">
        <v>29</v>
      </c>
      <c r="C469" s="19">
        <v>317341.36666666664</v>
      </c>
      <c r="D469" s="19">
        <v>6394.2666666666664</v>
      </c>
      <c r="E469" s="20">
        <v>2.0723333333333333E-2</v>
      </c>
      <c r="F469" s="19">
        <v>1636900.3666666667</v>
      </c>
      <c r="G469" s="19">
        <v>10476.633333333333</v>
      </c>
      <c r="H469" s="20">
        <v>6.4033333333333312E-3</v>
      </c>
      <c r="I469" s="21">
        <v>5.2829999999999995</v>
      </c>
      <c r="J469" s="2"/>
      <c r="K469" s="31"/>
      <c r="L469" s="31"/>
    </row>
    <row r="470" spans="1:12" ht="17.149999999999999" customHeight="1" x14ac:dyDescent="0.4">
      <c r="A470" s="22" t="s">
        <v>663</v>
      </c>
      <c r="B470" s="42" t="s">
        <v>29</v>
      </c>
      <c r="C470" s="53">
        <v>322452.77419354836</v>
      </c>
      <c r="D470" s="53">
        <v>6547.5806451612907</v>
      </c>
      <c r="E470" s="89">
        <v>2.1087096774193549E-2</v>
      </c>
      <c r="F470" s="53">
        <v>1624099.935483871</v>
      </c>
      <c r="G470" s="53">
        <v>10612.903225806451</v>
      </c>
      <c r="H470" s="89">
        <v>6.5322580645161285E-3</v>
      </c>
      <c r="I470" s="56">
        <v>5.1693451612903232</v>
      </c>
      <c r="J470" s="2"/>
      <c r="K470" s="31"/>
      <c r="L470" s="31"/>
    </row>
    <row r="471" spans="1:12" ht="17.149999999999999" customHeight="1" x14ac:dyDescent="0.4">
      <c r="A471" s="22" t="s">
        <v>540</v>
      </c>
      <c r="B471" s="42" t="s">
        <v>29</v>
      </c>
      <c r="C471" s="53">
        <v>427580.20689655171</v>
      </c>
      <c r="D471" s="53">
        <v>6584.2758620689656</v>
      </c>
      <c r="E471" s="89">
        <v>1.5503448275862065E-2</v>
      </c>
      <c r="F471" s="53">
        <v>1586813.7931034483</v>
      </c>
      <c r="G471" s="53">
        <v>10432.896551724138</v>
      </c>
      <c r="H471" s="89">
        <v>6.5344827586206909E-3</v>
      </c>
      <c r="I471" s="56">
        <v>3.7374034482758618</v>
      </c>
    </row>
    <row r="472" spans="1:12" ht="17.149999999999999" customHeight="1" x14ac:dyDescent="0.4">
      <c r="A472" s="22" t="s">
        <v>464</v>
      </c>
      <c r="B472" s="42" t="s">
        <v>29</v>
      </c>
      <c r="C472" s="53">
        <v>449018.09677419357</v>
      </c>
      <c r="D472" s="53">
        <v>7247.2580645161288</v>
      </c>
      <c r="E472" s="89">
        <v>1.6254838709677415E-2</v>
      </c>
      <c r="F472" s="53">
        <v>1785963.4193548388</v>
      </c>
      <c r="G472" s="53">
        <v>11815.451612903225</v>
      </c>
      <c r="H472" s="89">
        <v>6.6064516129032257E-3</v>
      </c>
      <c r="I472" s="56">
        <v>3.9983387096774203</v>
      </c>
    </row>
    <row r="473" spans="1:12" ht="17.149999999999999" customHeight="1" x14ac:dyDescent="0.4">
      <c r="A473" s="22" t="s">
        <v>245</v>
      </c>
      <c r="B473" s="42" t="s">
        <v>29</v>
      </c>
      <c r="C473" s="53">
        <v>443383</v>
      </c>
      <c r="D473" s="53">
        <v>6826</v>
      </c>
      <c r="E473" s="89">
        <v>1.5574193548387094E-2</v>
      </c>
      <c r="F473" s="53">
        <v>1824677.9032258065</v>
      </c>
      <c r="G473" s="53">
        <v>10781.354838709678</v>
      </c>
      <c r="H473" s="89">
        <v>5.9032258064516119E-3</v>
      </c>
      <c r="I473" s="56">
        <v>4.152745161290321</v>
      </c>
    </row>
    <row r="474" spans="1:12" ht="17.149999999999999" customHeight="1" x14ac:dyDescent="0.4">
      <c r="A474" s="22" t="s">
        <v>216</v>
      </c>
      <c r="B474" s="42" t="s">
        <v>29</v>
      </c>
      <c r="C474" s="53">
        <v>476762.93333333335</v>
      </c>
      <c r="D474" s="53">
        <v>6348</v>
      </c>
      <c r="E474" s="89">
        <v>1.3656666666666666E-2</v>
      </c>
      <c r="F474" s="53">
        <v>1946231.8</v>
      </c>
      <c r="G474" s="53">
        <v>9943.3666666666668</v>
      </c>
      <c r="H474" s="89">
        <v>5.1266666666666665E-3</v>
      </c>
      <c r="I474" s="56">
        <v>4.1609500000000006</v>
      </c>
    </row>
    <row r="475" spans="1:12" ht="17.149999999999999" customHeight="1" x14ac:dyDescent="0.4">
      <c r="A475" s="22" t="s">
        <v>217</v>
      </c>
      <c r="B475" s="42" t="s">
        <v>29</v>
      </c>
      <c r="C475" s="53">
        <v>540347.6451612903</v>
      </c>
      <c r="D475" s="53">
        <v>6912.6451612903229</v>
      </c>
      <c r="E475" s="20">
        <v>1.2867741935483869E-2</v>
      </c>
      <c r="F475" s="53">
        <v>2223563.9677419355</v>
      </c>
      <c r="G475" s="53">
        <v>11105.741935483871</v>
      </c>
      <c r="H475" s="20">
        <v>4.9774193548387091E-3</v>
      </c>
      <c r="I475" s="56">
        <v>4.1514612903225796</v>
      </c>
    </row>
    <row r="476" spans="1:12" ht="17.149999999999999" customHeight="1" x14ac:dyDescent="0.4">
      <c r="A476" s="22" t="s">
        <v>241</v>
      </c>
      <c r="B476" s="42" t="s">
        <v>29</v>
      </c>
      <c r="C476" s="53">
        <v>542192.56666666665</v>
      </c>
      <c r="D476" s="53">
        <v>6817.166666666667</v>
      </c>
      <c r="E476" s="20">
        <v>1.2636666666666664E-2</v>
      </c>
      <c r="F476" s="53">
        <v>2081067.3</v>
      </c>
      <c r="G476" s="53">
        <v>10329.566666666668</v>
      </c>
      <c r="H476" s="20">
        <v>4.9500000000000004E-3</v>
      </c>
      <c r="I476" s="56">
        <v>3.8633799999999994</v>
      </c>
    </row>
    <row r="477" spans="1:12" ht="17.149999999999999" customHeight="1" x14ac:dyDescent="0.4">
      <c r="A477" s="22" t="s">
        <v>220</v>
      </c>
      <c r="B477" s="42" t="s">
        <v>29</v>
      </c>
      <c r="C477" s="53">
        <v>566305.09677419357</v>
      </c>
      <c r="D477" s="53">
        <v>7529.1290322580644</v>
      </c>
      <c r="E477" s="20">
        <v>1.3295181475755289E-2</v>
      </c>
      <c r="F477" s="53">
        <v>2053726.7419354839</v>
      </c>
      <c r="G477" s="53">
        <v>11360.967741935483</v>
      </c>
      <c r="H477" s="20">
        <v>5.5318789544652955E-3</v>
      </c>
      <c r="I477" s="56">
        <v>3.660993548387097</v>
      </c>
      <c r="J477" s="31"/>
      <c r="K477" s="31"/>
      <c r="L477" s="31"/>
    </row>
    <row r="478" spans="1:12" ht="17.149999999999999" customHeight="1" x14ac:dyDescent="0.4">
      <c r="A478" s="22" t="s">
        <v>221</v>
      </c>
      <c r="B478" s="42" t="s">
        <v>246</v>
      </c>
      <c r="C478" s="19">
        <v>579637.58064516133</v>
      </c>
      <c r="D478" s="19">
        <v>7541.3548387096771</v>
      </c>
      <c r="E478" s="20">
        <v>1.3109677419354837E-2</v>
      </c>
      <c r="F478" s="19">
        <v>2057851.4193548388</v>
      </c>
      <c r="G478" s="19">
        <v>11298.935483870968</v>
      </c>
      <c r="H478" s="20">
        <v>5.4838709677419379E-3</v>
      </c>
      <c r="I478" s="21">
        <v>3.5812419354838707</v>
      </c>
      <c r="J478" s="31"/>
      <c r="K478" s="31"/>
      <c r="L478" s="31"/>
    </row>
    <row r="479" spans="1:12" ht="17.149999999999999" customHeight="1" x14ac:dyDescent="0.4">
      <c r="C479" s="28"/>
      <c r="D479" s="28"/>
      <c r="E479" s="28"/>
      <c r="F479" s="28"/>
      <c r="G479" s="28"/>
      <c r="H479" s="28"/>
      <c r="I479" s="28"/>
      <c r="J479" s="31"/>
      <c r="K479" s="31"/>
      <c r="L479" s="31"/>
    </row>
    <row r="480" spans="1:12" s="2" customFormat="1" ht="16.5" x14ac:dyDescent="0.4">
      <c r="A480" s="25"/>
      <c r="B480" s="25"/>
      <c r="C480" s="25"/>
      <c r="D480" s="25"/>
      <c r="E480" s="25"/>
      <c r="F480" s="25"/>
      <c r="G480" s="25"/>
      <c r="H480" s="31"/>
      <c r="I480" s="31"/>
    </row>
    <row r="481" spans="1:9" s="2" customFormat="1" ht="15" x14ac:dyDescent="0.25">
      <c r="A481" s="18" t="s">
        <v>3</v>
      </c>
      <c r="B481" s="18" t="s">
        <v>25</v>
      </c>
      <c r="C481" s="18" t="s">
        <v>5</v>
      </c>
      <c r="D481" s="18" t="s">
        <v>6</v>
      </c>
      <c r="E481" s="18" t="s">
        <v>7</v>
      </c>
      <c r="F481" s="18" t="s">
        <v>8</v>
      </c>
      <c r="G481" s="18" t="s">
        <v>9</v>
      </c>
      <c r="H481" s="18" t="s">
        <v>10</v>
      </c>
      <c r="I481" s="18" t="s">
        <v>11</v>
      </c>
    </row>
    <row r="482" spans="1:9" customFormat="1" ht="16.5" x14ac:dyDescent="0.4">
      <c r="A482" s="42">
        <v>20240716</v>
      </c>
      <c r="B482" s="42" t="s">
        <v>30</v>
      </c>
      <c r="C482" s="19">
        <v>18443</v>
      </c>
      <c r="D482" s="19">
        <v>4338</v>
      </c>
      <c r="E482" s="20">
        <v>0.23519999999999999</v>
      </c>
      <c r="F482" s="19">
        <v>257929</v>
      </c>
      <c r="G482" s="19">
        <v>10034</v>
      </c>
      <c r="H482" s="20">
        <v>3.8899999999999997E-2</v>
      </c>
      <c r="I482" s="21">
        <v>13.985200000000001</v>
      </c>
    </row>
    <row r="483" spans="1:9" customFormat="1" ht="16.5" x14ac:dyDescent="0.4">
      <c r="A483" s="42">
        <v>20240716</v>
      </c>
      <c r="B483" s="42" t="s">
        <v>30</v>
      </c>
      <c r="C483" s="19">
        <v>18443</v>
      </c>
      <c r="D483" s="19">
        <v>4338</v>
      </c>
      <c r="E483" s="20">
        <v>0.23519999999999999</v>
      </c>
      <c r="F483" s="19">
        <v>257929</v>
      </c>
      <c r="G483" s="19">
        <v>10034</v>
      </c>
      <c r="H483" s="20">
        <v>3.8899999999999997E-2</v>
      </c>
      <c r="I483" s="21">
        <v>13.985200000000001</v>
      </c>
    </row>
    <row r="484" spans="1:9" customFormat="1" ht="16.5" x14ac:dyDescent="0.4">
      <c r="A484" s="42">
        <v>20240715</v>
      </c>
      <c r="B484" s="42" t="s">
        <v>30</v>
      </c>
      <c r="C484" s="19">
        <v>19574</v>
      </c>
      <c r="D484" s="19">
        <v>4460</v>
      </c>
      <c r="E484" s="20">
        <v>0.22789999999999999</v>
      </c>
      <c r="F484" s="19">
        <v>241413</v>
      </c>
      <c r="G484" s="19">
        <v>9776</v>
      </c>
      <c r="H484" s="20">
        <v>4.0500000000000001E-2</v>
      </c>
      <c r="I484" s="21">
        <v>12.333399999999999</v>
      </c>
    </row>
    <row r="485" spans="1:9" customFormat="1" ht="16.5" x14ac:dyDescent="0.4">
      <c r="A485" s="42">
        <v>20240714</v>
      </c>
      <c r="B485" s="42" t="s">
        <v>30</v>
      </c>
      <c r="C485" s="19">
        <v>19537</v>
      </c>
      <c r="D485" s="19">
        <v>4606</v>
      </c>
      <c r="E485" s="20">
        <v>0.23580000000000001</v>
      </c>
      <c r="F485" s="19">
        <v>247687</v>
      </c>
      <c r="G485" s="19">
        <v>11948</v>
      </c>
      <c r="H485" s="20">
        <v>4.82E-2</v>
      </c>
      <c r="I485" s="21">
        <v>12.6778</v>
      </c>
    </row>
    <row r="486" spans="1:9" customFormat="1" ht="16.5" x14ac:dyDescent="0.4">
      <c r="A486" s="42">
        <v>20240713</v>
      </c>
      <c r="B486" s="42" t="s">
        <v>30</v>
      </c>
      <c r="C486" s="19">
        <v>18017</v>
      </c>
      <c r="D486" s="19">
        <v>3882</v>
      </c>
      <c r="E486" s="20">
        <v>0.2155</v>
      </c>
      <c r="F486" s="19">
        <v>216846</v>
      </c>
      <c r="G486" s="19">
        <v>8652</v>
      </c>
      <c r="H486" s="20">
        <v>3.9899999999999998E-2</v>
      </c>
      <c r="I486" s="21">
        <v>12.035600000000001</v>
      </c>
    </row>
    <row r="487" spans="1:9" customFormat="1" ht="16.5" x14ac:dyDescent="0.4">
      <c r="A487" s="42">
        <v>20240712</v>
      </c>
      <c r="B487" s="42" t="s">
        <v>30</v>
      </c>
      <c r="C487" s="19">
        <v>19370</v>
      </c>
      <c r="D487" s="19">
        <v>4304</v>
      </c>
      <c r="E487" s="20">
        <v>0.22220000000000001</v>
      </c>
      <c r="F487" s="19">
        <v>237752</v>
      </c>
      <c r="G487" s="19">
        <v>9747</v>
      </c>
      <c r="H487" s="20">
        <v>4.1000000000000002E-2</v>
      </c>
      <c r="I487" s="21">
        <v>12.2742</v>
      </c>
    </row>
    <row r="488" spans="1:9" customFormat="1" ht="16.5" x14ac:dyDescent="0.4">
      <c r="A488" s="42">
        <v>20240711</v>
      </c>
      <c r="B488" s="42" t="s">
        <v>30</v>
      </c>
      <c r="C488" s="19">
        <v>18705</v>
      </c>
      <c r="D488" s="19">
        <v>4342</v>
      </c>
      <c r="E488" s="20">
        <v>0.2321</v>
      </c>
      <c r="F488" s="19">
        <v>249482</v>
      </c>
      <c r="G488" s="19">
        <v>9820</v>
      </c>
      <c r="H488" s="20">
        <v>3.9399999999999998E-2</v>
      </c>
      <c r="I488" s="21">
        <v>13.3377</v>
      </c>
    </row>
    <row r="489" spans="1:9" customFormat="1" ht="16.5" x14ac:dyDescent="0.4">
      <c r="A489" s="42">
        <v>20240710</v>
      </c>
      <c r="B489" s="42" t="s">
        <v>30</v>
      </c>
      <c r="C489" s="19">
        <v>18222</v>
      </c>
      <c r="D489" s="19">
        <v>4260</v>
      </c>
      <c r="E489" s="20">
        <v>0.23380000000000001</v>
      </c>
      <c r="F489" s="19">
        <v>234705</v>
      </c>
      <c r="G489" s="19">
        <v>9270</v>
      </c>
      <c r="H489" s="20">
        <v>3.95E-2</v>
      </c>
      <c r="I489" s="21">
        <v>12.8803</v>
      </c>
    </row>
    <row r="490" spans="1:9" customFormat="1" ht="16.5" x14ac:dyDescent="0.4">
      <c r="A490" s="42">
        <v>20240709</v>
      </c>
      <c r="B490" s="42" t="s">
        <v>30</v>
      </c>
      <c r="C490" s="19">
        <v>17723</v>
      </c>
      <c r="D490" s="19">
        <v>4353</v>
      </c>
      <c r="E490" s="20">
        <v>0.24560000000000001</v>
      </c>
      <c r="F490" s="19">
        <v>241315</v>
      </c>
      <c r="G490" s="19">
        <v>10158</v>
      </c>
      <c r="H490" s="20">
        <v>4.2099999999999999E-2</v>
      </c>
      <c r="I490" s="21">
        <v>13.6159</v>
      </c>
    </row>
    <row r="491" spans="1:9" customFormat="1" ht="16.5" x14ac:dyDescent="0.4">
      <c r="A491" s="42">
        <v>20240708</v>
      </c>
      <c r="B491" s="42" t="s">
        <v>30</v>
      </c>
      <c r="C491" s="19">
        <v>18198</v>
      </c>
      <c r="D491" s="19">
        <v>4356</v>
      </c>
      <c r="E491" s="20">
        <v>0.2394</v>
      </c>
      <c r="F491" s="19">
        <v>249552</v>
      </c>
      <c r="G491" s="19">
        <v>9790</v>
      </c>
      <c r="H491" s="20">
        <v>3.9199999999999999E-2</v>
      </c>
      <c r="I491" s="21">
        <v>13.713200000000001</v>
      </c>
    </row>
    <row r="492" spans="1:9" customFormat="1" ht="16.5" x14ac:dyDescent="0.4">
      <c r="A492" s="42">
        <v>20240707</v>
      </c>
      <c r="B492" s="42" t="s">
        <v>30</v>
      </c>
      <c r="C492" s="19">
        <v>17137</v>
      </c>
      <c r="D492" s="19">
        <v>4053</v>
      </c>
      <c r="E492" s="20">
        <v>0.23649999999999999</v>
      </c>
      <c r="F492" s="19">
        <v>219934</v>
      </c>
      <c r="G492" s="19">
        <v>8599</v>
      </c>
      <c r="H492" s="20">
        <v>3.9100000000000003E-2</v>
      </c>
      <c r="I492" s="21">
        <v>12.8339</v>
      </c>
    </row>
    <row r="493" spans="1:9" customFormat="1" ht="16.5" x14ac:dyDescent="0.4">
      <c r="A493" s="42">
        <v>20240706</v>
      </c>
      <c r="B493" s="42" t="s">
        <v>30</v>
      </c>
      <c r="C493" s="19">
        <v>17665</v>
      </c>
      <c r="D493" s="19">
        <v>4342</v>
      </c>
      <c r="E493" s="20">
        <v>0.24579999999999999</v>
      </c>
      <c r="F493" s="19">
        <v>227652</v>
      </c>
      <c r="G493" s="19">
        <v>9470</v>
      </c>
      <c r="H493" s="20">
        <v>4.1599999999999998E-2</v>
      </c>
      <c r="I493" s="21">
        <v>12.8872</v>
      </c>
    </row>
    <row r="494" spans="1:9" customFormat="1" ht="16.5" x14ac:dyDescent="0.4">
      <c r="A494" s="42">
        <v>20240705</v>
      </c>
      <c r="B494" s="42" t="s">
        <v>30</v>
      </c>
      <c r="C494" s="19">
        <v>17786</v>
      </c>
      <c r="D494" s="19">
        <v>4317</v>
      </c>
      <c r="E494" s="20">
        <v>0.2427</v>
      </c>
      <c r="F494" s="19">
        <v>249609</v>
      </c>
      <c r="G494" s="19">
        <v>9697</v>
      </c>
      <c r="H494" s="20">
        <v>3.8800000000000001E-2</v>
      </c>
      <c r="I494" s="21">
        <v>14.034000000000001</v>
      </c>
    </row>
    <row r="495" spans="1:9" customFormat="1" ht="16.5" x14ac:dyDescent="0.4">
      <c r="A495" s="42">
        <v>20240704</v>
      </c>
      <c r="B495" s="42" t="s">
        <v>30</v>
      </c>
      <c r="C495" s="19">
        <v>17438</v>
      </c>
      <c r="D495" s="19">
        <v>4337</v>
      </c>
      <c r="E495" s="20">
        <v>0.2487</v>
      </c>
      <c r="F495" s="19">
        <v>235847</v>
      </c>
      <c r="G495" s="19">
        <v>9476</v>
      </c>
      <c r="H495" s="20">
        <v>4.02E-2</v>
      </c>
      <c r="I495" s="21">
        <v>13.524900000000001</v>
      </c>
    </row>
    <row r="496" spans="1:9" customFormat="1" ht="16.5" x14ac:dyDescent="0.4">
      <c r="A496" s="42">
        <v>20240703</v>
      </c>
      <c r="B496" s="42" t="s">
        <v>30</v>
      </c>
      <c r="C496" s="19">
        <v>18378</v>
      </c>
      <c r="D496" s="19">
        <v>4515</v>
      </c>
      <c r="E496" s="20">
        <v>0.2457</v>
      </c>
      <c r="F496" s="19">
        <v>252398</v>
      </c>
      <c r="G496" s="19">
        <v>9871</v>
      </c>
      <c r="H496" s="20">
        <v>3.9100000000000003E-2</v>
      </c>
      <c r="I496" s="21">
        <v>13.733700000000001</v>
      </c>
    </row>
    <row r="497" spans="1:12" customFormat="1" ht="16.5" x14ac:dyDescent="0.4">
      <c r="A497" s="42">
        <v>20240702</v>
      </c>
      <c r="B497" s="42" t="s">
        <v>30</v>
      </c>
      <c r="C497" s="19">
        <v>17784</v>
      </c>
      <c r="D497" s="19">
        <v>4454</v>
      </c>
      <c r="E497" s="20">
        <v>0.25040000000000001</v>
      </c>
      <c r="F497" s="19">
        <v>260081</v>
      </c>
      <c r="G497" s="19">
        <v>10018</v>
      </c>
      <c r="H497" s="20">
        <v>3.85E-2</v>
      </c>
      <c r="I497" s="21">
        <v>14.6244</v>
      </c>
    </row>
    <row r="498" spans="1:12" customFormat="1" ht="16.5" x14ac:dyDescent="0.4">
      <c r="A498" s="42">
        <v>20240701</v>
      </c>
      <c r="B498" s="42" t="s">
        <v>30</v>
      </c>
      <c r="C498" s="19">
        <v>17799</v>
      </c>
      <c r="D498" s="19">
        <v>4632</v>
      </c>
      <c r="E498" s="20">
        <v>0.26019999999999999</v>
      </c>
      <c r="F498" s="19">
        <v>243515</v>
      </c>
      <c r="G498" s="19">
        <v>10511</v>
      </c>
      <c r="H498" s="20">
        <v>4.3200000000000002E-2</v>
      </c>
      <c r="I498" s="21">
        <v>13.6814</v>
      </c>
    </row>
    <row r="499" spans="1:12" ht="17.149999999999999" customHeight="1" x14ac:dyDescent="0.4">
      <c r="A499" s="22" t="s">
        <v>971</v>
      </c>
      <c r="B499" s="42" t="s">
        <v>30</v>
      </c>
      <c r="C499" s="19">
        <v>21388.166666666668</v>
      </c>
      <c r="D499" s="19">
        <v>4221.3666666666668</v>
      </c>
      <c r="E499" s="20">
        <v>0.21774666666666667</v>
      </c>
      <c r="F499" s="19">
        <v>268313.5</v>
      </c>
      <c r="G499" s="19">
        <v>8949.2333333333336</v>
      </c>
      <c r="H499" s="20">
        <v>3.6510000000000008E-2</v>
      </c>
      <c r="I499" s="21">
        <v>12.624216666666667</v>
      </c>
      <c r="J499" s="2"/>
      <c r="K499" s="31"/>
      <c r="L499" s="31"/>
    </row>
    <row r="500" spans="1:12" ht="17.149999999999999" customHeight="1" x14ac:dyDescent="0.4">
      <c r="A500" s="22" t="s">
        <v>894</v>
      </c>
      <c r="B500" s="42" t="s">
        <v>30</v>
      </c>
      <c r="C500" s="19">
        <v>17035.064516129034</v>
      </c>
      <c r="D500" s="19">
        <v>4130.5161290322585</v>
      </c>
      <c r="E500" s="20">
        <v>0.24217741935483875</v>
      </c>
      <c r="F500" s="19">
        <v>213225.64516129033</v>
      </c>
      <c r="G500" s="19">
        <v>8663.1935483870966</v>
      </c>
      <c r="H500" s="20">
        <v>4.0490322580645159E-2</v>
      </c>
      <c r="I500" s="21">
        <v>12.495525806451614</v>
      </c>
      <c r="J500" s="2"/>
      <c r="K500" s="31"/>
      <c r="L500" s="31"/>
    </row>
    <row r="501" spans="1:12" ht="17.149999999999999" customHeight="1" x14ac:dyDescent="0.4">
      <c r="A501" s="22" t="s">
        <v>757</v>
      </c>
      <c r="B501" s="42" t="s">
        <v>30</v>
      </c>
      <c r="C501" s="19">
        <v>17464.599999999999</v>
      </c>
      <c r="D501" s="19">
        <v>4189.7</v>
      </c>
      <c r="E501" s="20">
        <v>0.23968666666666669</v>
      </c>
      <c r="F501" s="19">
        <v>228832.63333333333</v>
      </c>
      <c r="G501" s="19">
        <v>8768.3666666666668</v>
      </c>
      <c r="H501" s="20">
        <v>3.8266666666666664E-2</v>
      </c>
      <c r="I501" s="21">
        <v>13.083650000000002</v>
      </c>
      <c r="J501" s="2"/>
      <c r="K501" s="31"/>
      <c r="L501" s="31"/>
    </row>
    <row r="502" spans="1:12" ht="17.149999999999999" customHeight="1" x14ac:dyDescent="0.4">
      <c r="A502" s="22" t="s">
        <v>663</v>
      </c>
      <c r="B502" s="42" t="s">
        <v>30</v>
      </c>
      <c r="C502" s="53">
        <v>17736.516129032258</v>
      </c>
      <c r="D502" s="53">
        <v>4093.3548387096776</v>
      </c>
      <c r="E502" s="89">
        <v>0.23070645161290323</v>
      </c>
      <c r="F502" s="53">
        <v>224673.70967741936</v>
      </c>
      <c r="G502" s="53">
        <v>8450.0967741935492</v>
      </c>
      <c r="H502" s="89">
        <v>3.7564516129032263E-2</v>
      </c>
      <c r="I502" s="56">
        <v>12.65829677419355</v>
      </c>
      <c r="J502" s="2"/>
      <c r="K502" s="31"/>
      <c r="L502" s="31"/>
    </row>
    <row r="503" spans="1:12" ht="17.149999999999999" customHeight="1" x14ac:dyDescent="0.4">
      <c r="A503" s="22" t="s">
        <v>530</v>
      </c>
      <c r="B503" s="42" t="s">
        <v>30</v>
      </c>
      <c r="C503" s="53">
        <v>17201.793103448275</v>
      </c>
      <c r="D503" s="53">
        <v>3907.8275862068967</v>
      </c>
      <c r="E503" s="89">
        <v>0.22646206896551724</v>
      </c>
      <c r="F503" s="53">
        <v>207767.58620689655</v>
      </c>
      <c r="G503" s="53">
        <v>7902.1034482758623</v>
      </c>
      <c r="H503" s="89">
        <v>3.7806896551724138E-2</v>
      </c>
      <c r="I503" s="56">
        <v>12.044003448275863</v>
      </c>
    </row>
    <row r="504" spans="1:12" ht="17.149999999999999" customHeight="1" x14ac:dyDescent="0.4">
      <c r="A504" s="22" t="s">
        <v>466</v>
      </c>
      <c r="B504" s="42" t="s">
        <v>30</v>
      </c>
      <c r="C504" s="53">
        <v>18428.387096774193</v>
      </c>
      <c r="D504" s="53">
        <v>4306.3548387096771</v>
      </c>
      <c r="E504" s="89">
        <v>0.23350322580645161</v>
      </c>
      <c r="F504" s="53">
        <v>247529</v>
      </c>
      <c r="G504" s="53">
        <v>9116.8064516129034</v>
      </c>
      <c r="H504" s="89">
        <v>3.6770967741935487E-2</v>
      </c>
      <c r="I504" s="56">
        <v>13.424619354838713</v>
      </c>
    </row>
    <row r="505" spans="1:12" ht="17.149999999999999" customHeight="1" x14ac:dyDescent="0.4">
      <c r="A505" s="22" t="s">
        <v>215</v>
      </c>
      <c r="B505" s="42" t="s">
        <v>30</v>
      </c>
      <c r="C505" s="53">
        <v>19204.096774193549</v>
      </c>
      <c r="D505" s="53">
        <v>4511.7741935483873</v>
      </c>
      <c r="E505" s="89">
        <v>0.2347322580645162</v>
      </c>
      <c r="F505" s="53">
        <v>249732.09677419355</v>
      </c>
      <c r="G505" s="53">
        <v>9663.2903225806458</v>
      </c>
      <c r="H505" s="89">
        <v>3.8635483870967741E-2</v>
      </c>
      <c r="I505" s="56">
        <v>13.005522580645163</v>
      </c>
    </row>
    <row r="506" spans="1:12" ht="17.149999999999999" customHeight="1" x14ac:dyDescent="0.4">
      <c r="A506" s="22" t="s">
        <v>247</v>
      </c>
      <c r="B506" s="42" t="s">
        <v>30</v>
      </c>
      <c r="C506" s="53">
        <v>20391.5</v>
      </c>
      <c r="D506" s="53">
        <v>4812.8</v>
      </c>
      <c r="E506" s="89">
        <v>0.23571000000000003</v>
      </c>
      <c r="F506" s="53">
        <v>255182.53333333333</v>
      </c>
      <c r="G506" s="53">
        <v>10254.366666666667</v>
      </c>
      <c r="H506" s="89">
        <v>4.0136666666666668E-2</v>
      </c>
      <c r="I506" s="56">
        <v>12.518423333333335</v>
      </c>
    </row>
    <row r="507" spans="1:12" ht="17.149999999999999" customHeight="1" x14ac:dyDescent="0.4">
      <c r="A507" s="22" t="s">
        <v>217</v>
      </c>
      <c r="B507" s="42" t="s">
        <v>30</v>
      </c>
      <c r="C507" s="53">
        <v>21261.709677419356</v>
      </c>
      <c r="D507" s="53">
        <v>5393.4838709677415</v>
      </c>
      <c r="E507" s="20">
        <v>0.25319677419354841</v>
      </c>
      <c r="F507" s="53">
        <v>271996.25806451612</v>
      </c>
      <c r="G507" s="53">
        <v>11941</v>
      </c>
      <c r="H507" s="20">
        <v>4.3761290322580651E-2</v>
      </c>
      <c r="I507" s="56">
        <v>12.785458064516131</v>
      </c>
    </row>
    <row r="508" spans="1:12" ht="17.149999999999999" customHeight="1" x14ac:dyDescent="0.4">
      <c r="A508" s="22" t="s">
        <v>219</v>
      </c>
      <c r="B508" s="42" t="s">
        <v>30</v>
      </c>
      <c r="C508" s="53">
        <v>21978.866666666665</v>
      </c>
      <c r="D508" s="53">
        <v>5310.7333333333336</v>
      </c>
      <c r="E508" s="20">
        <v>0.24130999999999997</v>
      </c>
      <c r="F508" s="53">
        <v>259708.56666666668</v>
      </c>
      <c r="G508" s="53">
        <v>11048.133333333333</v>
      </c>
      <c r="H508" s="20">
        <v>4.2430000000000002E-2</v>
      </c>
      <c r="I508" s="56">
        <v>11.805966666666665</v>
      </c>
    </row>
    <row r="509" spans="1:12" ht="17.149999999999999" customHeight="1" x14ac:dyDescent="0.4">
      <c r="A509" s="22" t="s">
        <v>220</v>
      </c>
      <c r="B509" s="42" t="s">
        <v>30</v>
      </c>
      <c r="C509" s="53">
        <v>23006.387096774193</v>
      </c>
      <c r="D509" s="53">
        <v>5700.0967741935483</v>
      </c>
      <c r="E509" s="20">
        <v>0.24776149119879753</v>
      </c>
      <c r="F509" s="53">
        <v>277424.74193548388</v>
      </c>
      <c r="G509" s="53">
        <v>12255.967741935483</v>
      </c>
      <c r="H509" s="20">
        <v>4.4177630504151834E-2</v>
      </c>
      <c r="I509" s="56">
        <v>12.052554838709677</v>
      </c>
    </row>
    <row r="510" spans="1:12" ht="17.149999999999999" customHeight="1" x14ac:dyDescent="0.4">
      <c r="A510" s="22" t="s">
        <v>221</v>
      </c>
      <c r="B510" s="42" t="s">
        <v>248</v>
      </c>
      <c r="C510" s="19">
        <v>23813.516129032258</v>
      </c>
      <c r="D510" s="19">
        <v>5833.7096774193551</v>
      </c>
      <c r="E510" s="20">
        <v>0.24472258064516131</v>
      </c>
      <c r="F510" s="19">
        <v>278853.32258064515</v>
      </c>
      <c r="G510" s="19">
        <v>12244.967741935483</v>
      </c>
      <c r="H510" s="20">
        <v>4.3829032258064511E-2</v>
      </c>
      <c r="I510" s="21">
        <v>11.701725806451613</v>
      </c>
      <c r="J510" s="31"/>
      <c r="K510" s="31"/>
      <c r="L510" s="31"/>
    </row>
    <row r="511" spans="1:12" ht="17.149999999999999" customHeight="1" x14ac:dyDescent="0.4">
      <c r="C511" s="26"/>
      <c r="D511" s="26"/>
      <c r="E511" s="26"/>
      <c r="F511" s="26"/>
      <c r="G511" s="26"/>
      <c r="H511" s="26"/>
      <c r="I511" s="26"/>
      <c r="J511" s="31"/>
      <c r="K511" s="31"/>
      <c r="L511" s="31"/>
    </row>
  </sheetData>
  <phoneticPr fontId="9" type="noConversion"/>
  <pageMargins left="0.25" right="0.25" top="0.75" bottom="0.75" header="0.3" footer="0.3"/>
  <pageSetup paperSize="9" scale="48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zoomScale="40" zoomScaleNormal="40" zoomScaleSheetLayoutView="50" workbookViewId="0">
      <selection activeCell="A8" sqref="A8:XFD8"/>
    </sheetView>
  </sheetViews>
  <sheetFormatPr defaultColWidth="9" defaultRowHeight="24" x14ac:dyDescent="0.25"/>
  <cols>
    <col min="1" max="1" width="62.83203125" style="59" bestFit="1" customWidth="1"/>
    <col min="2" max="2" width="30.75" style="59" customWidth="1"/>
    <col min="3" max="3" width="33.83203125" style="59" customWidth="1"/>
    <col min="4" max="10" width="15.08203125" style="59" customWidth="1"/>
    <col min="11" max="11" width="8.58203125" style="59" customWidth="1"/>
    <col min="12" max="12" width="12.58203125" style="59" customWidth="1"/>
    <col min="13" max="13" width="11" style="59" customWidth="1"/>
    <col min="14" max="14" width="10.08203125" style="59" bestFit="1" customWidth="1"/>
    <col min="15" max="15" width="9" style="59"/>
    <col min="16" max="16" width="10.08203125" style="59" bestFit="1" customWidth="1"/>
    <col min="17" max="17" width="12.83203125" style="59" customWidth="1"/>
    <col min="18" max="19" width="18.58203125" style="59" bestFit="1" customWidth="1"/>
    <col min="20" max="20" width="14.83203125" style="59" bestFit="1" customWidth="1"/>
    <col min="21" max="21" width="12.08203125" style="59" customWidth="1"/>
    <col min="22" max="22" width="11.33203125" style="59" customWidth="1"/>
    <col min="23" max="23" width="9.08203125" style="59" customWidth="1"/>
    <col min="24" max="16384" width="9" style="59"/>
  </cols>
  <sheetData>
    <row r="1" spans="1:23" x14ac:dyDescent="0.25">
      <c r="A1" s="96" t="s">
        <v>249</v>
      </c>
      <c r="B1" s="96" t="s">
        <v>250</v>
      </c>
      <c r="C1" s="96" t="s">
        <v>251</v>
      </c>
      <c r="D1" s="96"/>
      <c r="E1" s="96"/>
      <c r="F1" s="96"/>
      <c r="G1" s="96" t="s">
        <v>252</v>
      </c>
      <c r="H1" s="96"/>
      <c r="I1" s="96"/>
      <c r="J1" s="96"/>
      <c r="K1" s="61"/>
      <c r="L1" s="61"/>
      <c r="M1" s="61"/>
      <c r="N1" s="61"/>
      <c r="O1" s="61"/>
      <c r="P1" s="61"/>
      <c r="Q1" s="61"/>
      <c r="R1" s="61"/>
      <c r="S1" s="61"/>
    </row>
    <row r="2" spans="1:23" x14ac:dyDescent="0.25">
      <c r="A2" s="96"/>
      <c r="B2" s="96"/>
      <c r="C2" s="92" t="s">
        <v>250</v>
      </c>
      <c r="D2" s="92" t="s">
        <v>253</v>
      </c>
      <c r="E2" s="92" t="s">
        <v>254</v>
      </c>
      <c r="F2" s="92" t="s">
        <v>255</v>
      </c>
      <c r="G2" s="92" t="s">
        <v>250</v>
      </c>
      <c r="H2" s="92" t="s">
        <v>253</v>
      </c>
      <c r="I2" s="92" t="s">
        <v>254</v>
      </c>
      <c r="J2" s="92" t="s">
        <v>255</v>
      </c>
      <c r="K2" s="61"/>
      <c r="L2" s="61"/>
      <c r="M2" s="61"/>
      <c r="N2" s="2"/>
      <c r="O2" s="61"/>
      <c r="P2" s="61"/>
      <c r="Q2" s="61"/>
      <c r="R2" s="61"/>
      <c r="S2" s="61"/>
      <c r="T2" s="61"/>
    </row>
    <row r="3" spans="1:23" x14ac:dyDescent="0.25">
      <c r="A3" s="62" t="s">
        <v>256</v>
      </c>
      <c r="B3" s="63">
        <f>SUM($M$7:$M$98369)</f>
        <v>2597</v>
      </c>
      <c r="C3" s="64">
        <f>SUMPRODUCT(($O$7:$O$98369=$C$1)*($M$7:$M$98369))</f>
        <v>2597</v>
      </c>
      <c r="D3" s="64">
        <f>SUMPRODUCT(($O$7:$O$98369=$C$1)*($G$7:$G$98369=$D$2)*($M$7:$M$98369))</f>
        <v>0</v>
      </c>
      <c r="E3" s="64">
        <f>SUMPRODUCT(($O$7:$O$98369=$C$1)*($G$7:$G$98369=$E$2)*($M$7:$M$98369))</f>
        <v>2597</v>
      </c>
      <c r="F3" s="64">
        <f>C3-D3-E3</f>
        <v>0</v>
      </c>
      <c r="G3" s="64">
        <f>B3-C3</f>
        <v>0</v>
      </c>
      <c r="H3" s="64">
        <f>SUMPRODUCT(($G$7:$G$98369=$H$2)*($M$7:$M$98369))-D3</f>
        <v>0</v>
      </c>
      <c r="I3" s="64">
        <f>SUMPRODUCT(($G$7:$G$98369=$I$2)*($M$7:$M$98369))-E3</f>
        <v>0</v>
      </c>
      <c r="J3" s="64">
        <f>IFERROR(G3-H3-I3,0)</f>
        <v>0</v>
      </c>
      <c r="K3" s="61"/>
      <c r="L3" s="61"/>
      <c r="M3" s="61"/>
      <c r="N3" s="61"/>
      <c r="O3" s="61"/>
      <c r="P3" s="61"/>
      <c r="Q3" s="61"/>
      <c r="R3" s="61"/>
      <c r="S3" s="61"/>
      <c r="T3" s="61"/>
      <c r="W3" s="2"/>
    </row>
    <row r="4" spans="1:23" x14ac:dyDescent="0.25">
      <c r="A4" s="62" t="s">
        <v>257</v>
      </c>
      <c r="B4" s="63">
        <f>COUNT($M$7:$M$98369)</f>
        <v>1</v>
      </c>
      <c r="C4" s="64">
        <f>SUMPRODUCT(($O$7:$O$98369=$C$1)*1)</f>
        <v>1</v>
      </c>
      <c r="D4" s="64">
        <f>SUMPRODUCT(($O$7:$O$98369=$C$1)*($G$7:$G$98369=$D$2)*1)</f>
        <v>0</v>
      </c>
      <c r="E4" s="64">
        <f>SUMPRODUCT(1*($G$7:$G$98369=$E$2))</f>
        <v>1</v>
      </c>
      <c r="F4" s="64">
        <f>C4-D4-E4</f>
        <v>0</v>
      </c>
      <c r="G4" s="64">
        <f>B4-C4</f>
        <v>0</v>
      </c>
      <c r="H4" s="64">
        <f>SUMPRODUCT(($G$7:$G$98369=$H$2)*1)-D4</f>
        <v>0</v>
      </c>
      <c r="I4" s="64">
        <f>SUMPRODUCT(($G$7:$G$998372=$I$2)*1)-E4</f>
        <v>0</v>
      </c>
      <c r="J4" s="64">
        <f>IFERROR(G4-H4-I4,0)</f>
        <v>0</v>
      </c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3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23" ht="68.25" customHeight="1" x14ac:dyDescent="0.6">
      <c r="A6" s="57" t="s">
        <v>31</v>
      </c>
      <c r="B6" s="57" t="s">
        <v>32</v>
      </c>
      <c r="C6" s="57" t="s">
        <v>33</v>
      </c>
      <c r="D6" s="57" t="s">
        <v>34</v>
      </c>
      <c r="E6" s="57" t="s">
        <v>87</v>
      </c>
      <c r="F6" s="57" t="s">
        <v>0</v>
      </c>
      <c r="G6" s="57" t="s">
        <v>1</v>
      </c>
      <c r="H6" s="57" t="s">
        <v>35</v>
      </c>
      <c r="I6" s="57" t="s">
        <v>36</v>
      </c>
      <c r="J6" s="57" t="s">
        <v>37</v>
      </c>
      <c r="K6" s="57" t="s">
        <v>136</v>
      </c>
      <c r="L6" s="57" t="s">
        <v>137</v>
      </c>
      <c r="M6" s="57" t="s">
        <v>38</v>
      </c>
      <c r="N6" s="57" t="s">
        <v>39</v>
      </c>
      <c r="O6" s="57" t="s">
        <v>40</v>
      </c>
      <c r="P6" s="57" t="s">
        <v>41</v>
      </c>
      <c r="Q6" s="57" t="s">
        <v>88</v>
      </c>
      <c r="R6" s="57" t="s">
        <v>42</v>
      </c>
      <c r="S6" s="57" t="s">
        <v>43</v>
      </c>
      <c r="T6" s="57" t="s">
        <v>44</v>
      </c>
      <c r="U6" s="57" t="s">
        <v>45</v>
      </c>
      <c r="V6" s="58" t="s">
        <v>91</v>
      </c>
      <c r="W6" s="60"/>
    </row>
    <row r="7" spans="1:23" x14ac:dyDescent="0.6">
      <c r="A7" s="60" t="s">
        <v>1042</v>
      </c>
      <c r="B7" s="60" t="s">
        <v>1043</v>
      </c>
      <c r="C7" s="60" t="s">
        <v>1044</v>
      </c>
      <c r="D7" s="60" t="s">
        <v>46</v>
      </c>
      <c r="E7" s="60" t="s">
        <v>1032</v>
      </c>
      <c r="F7" s="60" t="s">
        <v>1033</v>
      </c>
      <c r="G7" s="60" t="s">
        <v>2</v>
      </c>
      <c r="H7" s="60" t="s">
        <v>761</v>
      </c>
      <c r="I7" s="60" t="s">
        <v>13</v>
      </c>
      <c r="J7" s="60"/>
      <c r="K7" s="60"/>
      <c r="L7" s="60"/>
      <c r="M7" s="60">
        <v>2597</v>
      </c>
      <c r="N7" s="60">
        <v>1760</v>
      </c>
      <c r="O7" s="60" t="s">
        <v>47</v>
      </c>
      <c r="P7" s="60" t="s">
        <v>47</v>
      </c>
      <c r="Q7" s="60" t="s">
        <v>47</v>
      </c>
      <c r="R7" s="60">
        <v>12627582</v>
      </c>
      <c r="S7" s="60">
        <v>678795</v>
      </c>
      <c r="T7" s="60">
        <v>6101</v>
      </c>
      <c r="U7" s="65">
        <v>8.9999999999999993E-3</v>
      </c>
      <c r="V7" s="65">
        <v>3.8E-3</v>
      </c>
    </row>
  </sheetData>
  <mergeCells count="4">
    <mergeCell ref="A1:A2"/>
    <mergeCell ref="B1:B2"/>
    <mergeCell ref="C1:F1"/>
    <mergeCell ref="G1:J1"/>
  </mergeCells>
  <phoneticPr fontId="9" type="noConversion"/>
  <conditionalFormatting sqref="R8:S1048576 R1:S1 R5:S5 S2:T4">
    <cfRule type="duplicateValues" dxfId="3" priority="3"/>
  </conditionalFormatting>
  <conditionalFormatting sqref="S7">
    <cfRule type="duplicateValues" dxfId="2" priority="2"/>
  </conditionalFormatting>
  <conditionalFormatting sqref="T7">
    <cfRule type="expression" dxfId="1" priority="4">
      <formula>#REF!="低"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zoomScale="70" zoomScaleNormal="70" workbookViewId="0">
      <selection activeCell="A10" sqref="A10:XFD171"/>
    </sheetView>
  </sheetViews>
  <sheetFormatPr defaultColWidth="9" defaultRowHeight="14.5" x14ac:dyDescent="0.25"/>
  <cols>
    <col min="1" max="1" width="42.08203125" style="10" customWidth="1"/>
    <col min="2" max="2" width="17.58203125" style="10" customWidth="1"/>
    <col min="3" max="10" width="20.08203125" style="10" customWidth="1"/>
    <col min="11" max="11" width="24.58203125" style="10" bestFit="1" customWidth="1"/>
    <col min="12" max="12" width="9" style="10"/>
    <col min="13" max="13" width="18.08203125" style="10" bestFit="1" customWidth="1"/>
    <col min="14" max="14" width="18.08203125" style="10" customWidth="1"/>
    <col min="15" max="15" width="17.08203125" style="10" customWidth="1"/>
    <col min="16" max="16" width="9.58203125" style="10" customWidth="1"/>
    <col min="17" max="17" width="11.08203125" style="10" bestFit="1" customWidth="1"/>
    <col min="18" max="18" width="9" style="10" customWidth="1"/>
    <col min="19" max="19" width="9.08203125" style="10" bestFit="1" customWidth="1"/>
    <col min="20" max="20" width="8.08203125" style="51" bestFit="1" customWidth="1"/>
    <col min="21" max="21" width="7.58203125" style="10" customWidth="1"/>
    <col min="22" max="22" width="9" style="10" customWidth="1"/>
    <col min="23" max="16384" width="9" style="10"/>
  </cols>
  <sheetData>
    <row r="1" spans="1:21" x14ac:dyDescent="0.25">
      <c r="A1" s="97" t="s">
        <v>258</v>
      </c>
      <c r="B1" s="97" t="s">
        <v>250</v>
      </c>
      <c r="C1" s="98" t="s">
        <v>259</v>
      </c>
      <c r="D1" s="99"/>
      <c r="E1" s="99"/>
      <c r="F1" s="100"/>
      <c r="G1" s="97" t="s">
        <v>260</v>
      </c>
      <c r="H1" s="97"/>
      <c r="I1" s="97"/>
      <c r="J1" s="97"/>
      <c r="K1" s="13"/>
      <c r="L1" s="13"/>
      <c r="M1" s="13"/>
      <c r="N1" s="13"/>
      <c r="O1" s="13"/>
      <c r="P1" s="13"/>
      <c r="Q1" s="13"/>
      <c r="R1" s="13"/>
      <c r="S1" s="13"/>
      <c r="T1" s="48"/>
    </row>
    <row r="2" spans="1:21" x14ac:dyDescent="0.25">
      <c r="A2" s="97"/>
      <c r="B2" s="97"/>
      <c r="C2" s="93" t="s">
        <v>250</v>
      </c>
      <c r="D2" s="93" t="s">
        <v>253</v>
      </c>
      <c r="E2" s="93" t="s">
        <v>254</v>
      </c>
      <c r="F2" s="93" t="s">
        <v>255</v>
      </c>
      <c r="G2" s="93" t="s">
        <v>250</v>
      </c>
      <c r="H2" s="93" t="s">
        <v>253</v>
      </c>
      <c r="I2" s="93" t="s">
        <v>254</v>
      </c>
      <c r="J2" s="93" t="s">
        <v>255</v>
      </c>
      <c r="K2" s="13"/>
      <c r="L2" s="13"/>
      <c r="M2" s="13"/>
      <c r="N2" s="13"/>
      <c r="O2" s="13"/>
      <c r="P2" s="13"/>
      <c r="Q2" s="13"/>
      <c r="R2" s="13"/>
      <c r="S2" s="13"/>
      <c r="T2" s="48"/>
    </row>
    <row r="3" spans="1:21" x14ac:dyDescent="0.25">
      <c r="A3" s="14" t="s">
        <v>256</v>
      </c>
      <c r="B3" s="15">
        <f>SUM($I$7:$I$3658)</f>
        <v>0</v>
      </c>
      <c r="C3" s="16">
        <f>SUMPRODUCT(($D$7:$D$3658=$C$1)*($I$7:$I$3658))</f>
        <v>0</v>
      </c>
      <c r="D3" s="16">
        <f>SUMPRODUCT(($D$7:$D$3658=$C$1)*($H$7:$H$3658=D$2)*($I$7:$I$3658))</f>
        <v>0</v>
      </c>
      <c r="E3" s="16">
        <f>SUMPRODUCT(($D$7:$D$3658=$C$1)*($H$7:$H$3658=E$2)*($I$7:$I$3658))</f>
        <v>0</v>
      </c>
      <c r="F3" s="16">
        <f>C3-D3-E3</f>
        <v>0</v>
      </c>
      <c r="G3" s="16">
        <f>B3-C3</f>
        <v>0</v>
      </c>
      <c r="H3" s="16">
        <f>SUMPRODUCT(($H$7:$H$3658=$H$2)*($I$7:$I$3658))-D3</f>
        <v>0</v>
      </c>
      <c r="I3" s="16">
        <f>SUMPRODUCT(($H$7:$H$3658=$I$2)*($I$7:$I$3658))-E3</f>
        <v>0</v>
      </c>
      <c r="J3" s="16">
        <f>G3-H3-I3</f>
        <v>0</v>
      </c>
      <c r="K3" s="13"/>
      <c r="L3" s="13"/>
      <c r="M3" s="13"/>
      <c r="N3" s="13"/>
      <c r="O3" s="13"/>
      <c r="P3" s="13"/>
      <c r="Q3" s="13"/>
      <c r="R3" s="13"/>
      <c r="S3" s="13"/>
      <c r="T3" s="48"/>
    </row>
    <row r="4" spans="1:21" x14ac:dyDescent="0.25">
      <c r="A4" s="14" t="s">
        <v>261</v>
      </c>
      <c r="B4" s="15">
        <f>COUNTA($A$7:$A$3658)</f>
        <v>3</v>
      </c>
      <c r="C4" s="16">
        <f>SUMPRODUCT(($D$7:$D$3658=$C$1)*1)</f>
        <v>3</v>
      </c>
      <c r="D4" s="16">
        <f>SUMPRODUCT(($D$7:$D$3658=$C$1)*($H$7:$H$3658=D$2)*1)</f>
        <v>0</v>
      </c>
      <c r="E4" s="16">
        <f>SUMPRODUCT(($D$7:$D$3658=$C$1)*($H$7:$H$3658=E$2)*1)</f>
        <v>0</v>
      </c>
      <c r="F4" s="16">
        <f>C4-D4-E4</f>
        <v>3</v>
      </c>
      <c r="G4" s="16">
        <f>B4-C4</f>
        <v>0</v>
      </c>
      <c r="H4" s="16">
        <f>SUMPRODUCT(($H$7:$H$3658=$H$2)*1)-D4</f>
        <v>0</v>
      </c>
      <c r="I4" s="16">
        <f>SUMPRODUCT(($H$7:$H$3658=$I$2)*1)-E4</f>
        <v>0</v>
      </c>
      <c r="J4" s="16">
        <f>G4-H4-I4</f>
        <v>0</v>
      </c>
      <c r="K4" s="13"/>
      <c r="L4" s="13"/>
      <c r="M4" s="13"/>
      <c r="N4" s="13"/>
      <c r="O4" s="13"/>
      <c r="P4" s="13"/>
      <c r="Q4" s="13"/>
      <c r="R4" s="13"/>
      <c r="S4" s="13"/>
      <c r="T4" s="48"/>
    </row>
    <row r="5" spans="1:2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49"/>
    </row>
    <row r="6" spans="1:21" ht="55" customHeight="1" x14ac:dyDescent="0.25">
      <c r="A6" s="17" t="s">
        <v>31</v>
      </c>
      <c r="B6" s="17" t="s">
        <v>32</v>
      </c>
      <c r="C6" s="17" t="s">
        <v>33</v>
      </c>
      <c r="D6" s="17" t="s">
        <v>4</v>
      </c>
      <c r="E6" s="17" t="s">
        <v>48</v>
      </c>
      <c r="F6" s="17" t="s">
        <v>87</v>
      </c>
      <c r="G6" s="17" t="s">
        <v>0</v>
      </c>
      <c r="H6" s="17" t="s">
        <v>1</v>
      </c>
      <c r="I6" s="17" t="s">
        <v>38</v>
      </c>
      <c r="J6" s="17" t="s">
        <v>49</v>
      </c>
      <c r="K6" s="17" t="s">
        <v>50</v>
      </c>
      <c r="L6" s="17" t="s">
        <v>51</v>
      </c>
      <c r="M6" s="17" t="s">
        <v>52</v>
      </c>
      <c r="N6" s="17" t="s">
        <v>109</v>
      </c>
      <c r="O6" s="17" t="s">
        <v>53</v>
      </c>
      <c r="P6" s="17" t="s">
        <v>40</v>
      </c>
      <c r="Q6" s="17" t="s">
        <v>42</v>
      </c>
      <c r="R6" s="17" t="s">
        <v>43</v>
      </c>
      <c r="S6" s="17" t="s">
        <v>44</v>
      </c>
      <c r="T6" s="50" t="s">
        <v>45</v>
      </c>
      <c r="U6" s="17" t="s">
        <v>262</v>
      </c>
    </row>
    <row r="7" spans="1:21" x14ac:dyDescent="0.4">
      <c r="A7" s="10" t="s">
        <v>1045</v>
      </c>
      <c r="B7" s="10" t="s">
        <v>1046</v>
      </c>
      <c r="C7" s="10" t="s">
        <v>1047</v>
      </c>
      <c r="D7" s="10" t="s">
        <v>140</v>
      </c>
      <c r="E7" s="10" t="s">
        <v>983</v>
      </c>
      <c r="G7" s="10" t="s">
        <v>989</v>
      </c>
      <c r="I7" s="10">
        <v>0</v>
      </c>
      <c r="J7" s="10" t="s">
        <v>159</v>
      </c>
      <c r="K7" s="10" t="s">
        <v>1048</v>
      </c>
      <c r="M7" s="10" t="s">
        <v>46</v>
      </c>
      <c r="N7" s="10" t="s">
        <v>984</v>
      </c>
      <c r="P7" s="10" t="s">
        <v>47</v>
      </c>
      <c r="Q7" s="10">
        <v>0</v>
      </c>
      <c r="R7" s="10">
        <v>0</v>
      </c>
      <c r="S7" s="10">
        <v>0</v>
      </c>
      <c r="T7" s="51" t="s">
        <v>168</v>
      </c>
      <c r="U7" s="12">
        <f>IF(AND($J7="要闻组",$P7="不过滤"),IFERROR(INDEX(个性化监测条件!$A$1:$E$4,MATCH(M7,个性化监测条件!$A$1:$A$4,0),MATCH(K7,个性化监测条件!$A$1:$E$1,0)),0),0)</f>
        <v>0</v>
      </c>
    </row>
    <row r="8" spans="1:21" x14ac:dyDescent="0.4">
      <c r="A8" s="10" t="s">
        <v>1049</v>
      </c>
      <c r="B8" s="10" t="s">
        <v>1050</v>
      </c>
      <c r="C8" s="10" t="s">
        <v>1051</v>
      </c>
      <c r="D8" s="10" t="s">
        <v>140</v>
      </c>
      <c r="E8" s="10" t="s">
        <v>983</v>
      </c>
      <c r="G8" s="10" t="s">
        <v>989</v>
      </c>
      <c r="I8" s="10">
        <v>0</v>
      </c>
      <c r="J8" s="10" t="s">
        <v>159</v>
      </c>
      <c r="K8" s="10" t="s">
        <v>1052</v>
      </c>
      <c r="M8" s="10" t="s">
        <v>55</v>
      </c>
      <c r="N8" s="10" t="s">
        <v>1053</v>
      </c>
      <c r="P8" s="10" t="s">
        <v>47</v>
      </c>
      <c r="Q8" s="10">
        <v>0</v>
      </c>
      <c r="R8" s="10">
        <v>0</v>
      </c>
      <c r="S8" s="10">
        <v>0</v>
      </c>
      <c r="T8" s="51" t="s">
        <v>168</v>
      </c>
      <c r="U8" s="12">
        <f>IF(AND($J8="要闻组",$P8="不过滤"),IFERROR(INDEX(个性化监测条件!$A$1:$E$4,MATCH(M8,个性化监测条件!$A$1:$A$4,0),MATCH(K8,个性化监测条件!$A$1:$E$1,0)),0),0)</f>
        <v>0</v>
      </c>
    </row>
    <row r="9" spans="1:21" x14ac:dyDescent="0.4">
      <c r="A9" s="10" t="s">
        <v>1054</v>
      </c>
      <c r="B9" s="10" t="s">
        <v>1055</v>
      </c>
      <c r="C9" s="10" t="s">
        <v>1056</v>
      </c>
      <c r="D9" s="10" t="s">
        <v>140</v>
      </c>
      <c r="E9" s="10" t="s">
        <v>983</v>
      </c>
      <c r="G9" s="10" t="s">
        <v>989</v>
      </c>
      <c r="I9" s="10">
        <v>0</v>
      </c>
      <c r="J9" s="10" t="s">
        <v>159</v>
      </c>
      <c r="K9" s="10" t="s">
        <v>1057</v>
      </c>
      <c r="M9" s="10" t="s">
        <v>55</v>
      </c>
      <c r="N9" s="10" t="s">
        <v>984</v>
      </c>
      <c r="P9" s="10" t="s">
        <v>47</v>
      </c>
      <c r="Q9" s="10">
        <v>0</v>
      </c>
      <c r="R9" s="10">
        <v>0</v>
      </c>
      <c r="S9" s="10">
        <v>0</v>
      </c>
      <c r="T9" s="51" t="s">
        <v>168</v>
      </c>
      <c r="U9" s="12">
        <f>IF(AND($J9="要闻组",$P9="不过滤"),IFERROR(INDEX(个性化监测条件!$A$1:$E$4,MATCH(M9,个性化监测条件!$A$1:$A$4,0),MATCH(K9,个性化监测条件!$A$1:$E$1,0)),0),0)</f>
        <v>0</v>
      </c>
    </row>
  </sheetData>
  <mergeCells count="4">
    <mergeCell ref="A1:A2"/>
    <mergeCell ref="B1:B2"/>
    <mergeCell ref="C1:F1"/>
    <mergeCell ref="G1:J1"/>
  </mergeCells>
  <phoneticPr fontId="9" type="noConversion"/>
  <conditionalFormatting sqref="T7:T9">
    <cfRule type="expression" dxfId="0" priority="1">
      <formula>IFERROR($T7*1,0)&lt;$U7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6"/>
  <sheetViews>
    <sheetView tabSelected="1" topLeftCell="A31" zoomScale="60" zoomScaleNormal="60" workbookViewId="0">
      <selection activeCell="D57" sqref="D57"/>
    </sheetView>
  </sheetViews>
  <sheetFormatPr defaultColWidth="9" defaultRowHeight="14.5" x14ac:dyDescent="0.4"/>
  <cols>
    <col min="1" max="1" width="12.33203125" style="40" bestFit="1" customWidth="1"/>
    <col min="2" max="2" width="17.58203125" style="40" bestFit="1" customWidth="1"/>
    <col min="3" max="3" width="14.58203125" style="40" bestFit="1" customWidth="1"/>
    <col min="4" max="4" width="20.08203125" style="40" customWidth="1"/>
    <col min="5" max="5" width="15.33203125" style="40" bestFit="1" customWidth="1"/>
    <col min="6" max="6" width="18.33203125" style="40" bestFit="1" customWidth="1"/>
    <col min="7" max="7" width="17.83203125" style="40" bestFit="1" customWidth="1"/>
    <col min="8" max="9" width="14.58203125" style="40" customWidth="1"/>
    <col min="10" max="10" width="20.33203125" style="40" customWidth="1"/>
    <col min="11" max="11" width="21.58203125" style="40" bestFit="1" customWidth="1"/>
    <col min="12" max="12" width="12.58203125" style="40" bestFit="1" customWidth="1"/>
    <col min="13" max="13" width="11.5" style="40" bestFit="1" customWidth="1"/>
    <col min="14" max="14" width="19" style="40" customWidth="1"/>
    <col min="15" max="15" width="13.83203125" style="40" customWidth="1"/>
    <col min="16" max="16" width="12.25" style="40" bestFit="1" customWidth="1"/>
    <col min="17" max="16384" width="9" style="40"/>
  </cols>
  <sheetData>
    <row r="1" spans="1:14" x14ac:dyDescent="0.4">
      <c r="A1" s="39" t="s">
        <v>0</v>
      </c>
      <c r="B1" s="39" t="s">
        <v>102</v>
      </c>
      <c r="C1" s="39" t="s">
        <v>1</v>
      </c>
      <c r="D1" s="39" t="s">
        <v>173</v>
      </c>
      <c r="E1" s="39" t="s">
        <v>40</v>
      </c>
      <c r="F1" s="39" t="s">
        <v>103</v>
      </c>
      <c r="G1" s="39" t="s">
        <v>174</v>
      </c>
      <c r="H1" s="39" t="s">
        <v>43</v>
      </c>
      <c r="I1" s="39" t="s">
        <v>44</v>
      </c>
      <c r="J1" s="39" t="s">
        <v>59</v>
      </c>
      <c r="K1" s="39" t="s">
        <v>38</v>
      </c>
      <c r="L1" s="39" t="s">
        <v>60</v>
      </c>
      <c r="M1" s="66"/>
      <c r="N1" s="66"/>
    </row>
    <row r="2" spans="1:14" x14ac:dyDescent="0.4">
      <c r="A2" s="67" t="s">
        <v>1058</v>
      </c>
      <c r="B2" s="67" t="s">
        <v>1059</v>
      </c>
      <c r="C2" s="67" t="s">
        <v>2</v>
      </c>
      <c r="D2" s="67" t="s">
        <v>100</v>
      </c>
      <c r="E2" s="67" t="s">
        <v>47</v>
      </c>
      <c r="F2" s="67">
        <v>2</v>
      </c>
      <c r="G2" s="67">
        <v>1</v>
      </c>
      <c r="H2" s="3">
        <v>97</v>
      </c>
      <c r="I2" s="3">
        <v>8</v>
      </c>
      <c r="J2" s="68" t="s">
        <v>1064</v>
      </c>
      <c r="K2" s="3">
        <v>0</v>
      </c>
      <c r="L2" s="67">
        <v>1</v>
      </c>
      <c r="M2" s="66"/>
      <c r="N2" s="66"/>
    </row>
    <row r="3" spans="1:14" x14ac:dyDescent="0.4">
      <c r="A3" s="67" t="s">
        <v>1062</v>
      </c>
      <c r="B3" s="67" t="s">
        <v>1063</v>
      </c>
      <c r="C3" s="67" t="s">
        <v>2</v>
      </c>
      <c r="D3" s="67" t="s">
        <v>100</v>
      </c>
      <c r="E3" s="67" t="s">
        <v>47</v>
      </c>
      <c r="F3" s="67">
        <v>1</v>
      </c>
      <c r="G3" s="67">
        <v>1</v>
      </c>
      <c r="H3" s="3">
        <v>169647</v>
      </c>
      <c r="I3" s="3">
        <v>1297</v>
      </c>
      <c r="J3" s="68" t="s">
        <v>578</v>
      </c>
      <c r="K3" s="3">
        <v>214</v>
      </c>
      <c r="L3" s="67">
        <v>10</v>
      </c>
      <c r="M3" s="66"/>
      <c r="N3" s="66"/>
    </row>
    <row r="4" spans="1:14" x14ac:dyDescent="0.4">
      <c r="A4" s="67" t="s">
        <v>1060</v>
      </c>
      <c r="B4" s="67" t="s">
        <v>1061</v>
      </c>
      <c r="C4" s="67" t="s">
        <v>2</v>
      </c>
      <c r="D4" s="67" t="s">
        <v>100</v>
      </c>
      <c r="E4" s="67" t="s">
        <v>47</v>
      </c>
      <c r="F4" s="67">
        <v>67</v>
      </c>
      <c r="G4" s="67">
        <v>40</v>
      </c>
      <c r="H4" s="3">
        <v>13299633</v>
      </c>
      <c r="I4" s="3">
        <v>117103</v>
      </c>
      <c r="J4" s="68" t="s">
        <v>334</v>
      </c>
      <c r="K4" s="3">
        <v>29481</v>
      </c>
      <c r="L4" s="67">
        <v>1031</v>
      </c>
      <c r="M4" s="66"/>
      <c r="N4" s="66"/>
    </row>
    <row r="5" spans="1:14" x14ac:dyDescent="0.4">
      <c r="A5" s="67" t="s">
        <v>1032</v>
      </c>
      <c r="B5" s="67" t="s">
        <v>1033</v>
      </c>
      <c r="C5" s="67" t="s">
        <v>2</v>
      </c>
      <c r="D5" s="67" t="s">
        <v>15</v>
      </c>
      <c r="E5" s="67" t="s">
        <v>47</v>
      </c>
      <c r="F5" s="67">
        <v>2</v>
      </c>
      <c r="G5" s="67">
        <v>2</v>
      </c>
      <c r="H5" s="3">
        <v>6920858</v>
      </c>
      <c r="I5" s="3">
        <v>41701</v>
      </c>
      <c r="J5" s="68" t="s">
        <v>413</v>
      </c>
      <c r="K5" s="3">
        <v>23562</v>
      </c>
      <c r="L5" s="67">
        <v>251</v>
      </c>
      <c r="M5" s="66"/>
      <c r="N5" s="66"/>
    </row>
    <row r="6" spans="1:14" x14ac:dyDescent="0.4">
      <c r="A6" s="67" t="s">
        <v>1062</v>
      </c>
      <c r="B6" s="67" t="s">
        <v>1063</v>
      </c>
      <c r="C6" s="67" t="s">
        <v>2</v>
      </c>
      <c r="D6" s="67" t="s">
        <v>100</v>
      </c>
      <c r="E6" s="67" t="s">
        <v>47</v>
      </c>
      <c r="F6" s="67">
        <v>1</v>
      </c>
      <c r="G6" s="67">
        <v>1</v>
      </c>
      <c r="H6" s="3">
        <v>169647</v>
      </c>
      <c r="I6" s="3">
        <v>1297</v>
      </c>
      <c r="J6" s="68" t="s">
        <v>578</v>
      </c>
      <c r="K6" s="3">
        <v>214</v>
      </c>
      <c r="L6" s="67">
        <v>10</v>
      </c>
      <c r="M6" s="66"/>
      <c r="N6" s="66"/>
    </row>
    <row r="7" spans="1:14" x14ac:dyDescent="0.4">
      <c r="A7" s="67" t="s">
        <v>1060</v>
      </c>
      <c r="B7" s="67" t="s">
        <v>1061</v>
      </c>
      <c r="C7" s="67" t="s">
        <v>2</v>
      </c>
      <c r="D7" s="67" t="s">
        <v>100</v>
      </c>
      <c r="E7" s="67" t="s">
        <v>47</v>
      </c>
      <c r="F7" s="67">
        <v>67</v>
      </c>
      <c r="G7" s="67">
        <v>40</v>
      </c>
      <c r="H7" s="3">
        <v>13299633</v>
      </c>
      <c r="I7" s="3">
        <v>117103</v>
      </c>
      <c r="J7" s="68" t="s">
        <v>334</v>
      </c>
      <c r="K7" s="3">
        <v>29481</v>
      </c>
      <c r="L7" s="67">
        <v>1031</v>
      </c>
      <c r="M7" s="66"/>
      <c r="N7" s="66"/>
    </row>
    <row r="8" spans="1:14" x14ac:dyDescent="0.4">
      <c r="A8" s="67" t="s">
        <v>1032</v>
      </c>
      <c r="B8" s="67" t="s">
        <v>1033</v>
      </c>
      <c r="C8" s="67" t="s">
        <v>2</v>
      </c>
      <c r="D8" s="67" t="s">
        <v>15</v>
      </c>
      <c r="E8" s="67" t="s">
        <v>47</v>
      </c>
      <c r="F8" s="67">
        <v>2</v>
      </c>
      <c r="G8" s="67">
        <v>2</v>
      </c>
      <c r="H8" s="3">
        <v>6920858</v>
      </c>
      <c r="I8" s="3">
        <v>41701</v>
      </c>
      <c r="J8" s="68" t="s">
        <v>413</v>
      </c>
      <c r="K8" s="3">
        <v>23562</v>
      </c>
      <c r="L8" s="67">
        <v>251</v>
      </c>
      <c r="M8" s="66"/>
      <c r="N8" s="66"/>
    </row>
    <row r="9" spans="1:14" x14ac:dyDescent="0.4">
      <c r="A9" s="67" t="s">
        <v>1027</v>
      </c>
      <c r="B9" s="67" t="s">
        <v>1028</v>
      </c>
      <c r="C9" s="67" t="s">
        <v>2</v>
      </c>
      <c r="D9" s="67" t="s">
        <v>100</v>
      </c>
      <c r="E9" s="67" t="s">
        <v>47</v>
      </c>
      <c r="F9" s="67">
        <v>59</v>
      </c>
      <c r="G9" s="67">
        <v>34</v>
      </c>
      <c r="H9" s="3">
        <v>13843683</v>
      </c>
      <c r="I9" s="3">
        <v>129239</v>
      </c>
      <c r="J9" s="68" t="s">
        <v>323</v>
      </c>
      <c r="K9" s="3">
        <v>19659</v>
      </c>
      <c r="L9" s="67">
        <v>1207</v>
      </c>
      <c r="M9" s="66"/>
      <c r="N9" s="66"/>
    </row>
    <row r="10" spans="1:14" x14ac:dyDescent="0.4">
      <c r="A10" s="66"/>
      <c r="B10" s="66"/>
      <c r="C10" s="66"/>
      <c r="D10" s="66"/>
      <c r="E10" s="66"/>
      <c r="F10" s="66"/>
      <c r="G10" s="66"/>
      <c r="H10" s="84"/>
      <c r="I10" s="84"/>
      <c r="J10" s="12"/>
      <c r="K10" s="84"/>
      <c r="L10" s="66"/>
    </row>
    <row r="11" spans="1:14" x14ac:dyDescent="0.4">
      <c r="A11" s="66"/>
      <c r="B11" s="66"/>
      <c r="C11" s="66"/>
      <c r="D11" s="66"/>
      <c r="E11" s="66"/>
      <c r="F11" s="66"/>
      <c r="G11" s="66"/>
      <c r="H11" s="84"/>
      <c r="I11" s="84"/>
      <c r="J11" s="12"/>
      <c r="K11" s="84"/>
      <c r="L11" s="66"/>
    </row>
    <row r="12" spans="1:14" x14ac:dyDescent="0.4">
      <c r="A12" s="69" t="s">
        <v>0</v>
      </c>
      <c r="B12" s="69" t="s">
        <v>145</v>
      </c>
      <c r="C12" s="69" t="s">
        <v>146</v>
      </c>
      <c r="D12" s="69" t="s">
        <v>61</v>
      </c>
      <c r="E12" s="69" t="s">
        <v>147</v>
      </c>
    </row>
    <row r="13" spans="1:14" x14ac:dyDescent="0.4">
      <c r="A13" s="41" t="s">
        <v>1065</v>
      </c>
      <c r="B13" s="67" t="s">
        <v>151</v>
      </c>
      <c r="C13" s="3">
        <v>16449</v>
      </c>
      <c r="D13" s="3">
        <v>42509.032258064522</v>
      </c>
      <c r="E13" s="68" t="s">
        <v>1066</v>
      </c>
    </row>
    <row r="14" spans="1:14" x14ac:dyDescent="0.4">
      <c r="A14" s="41" t="s">
        <v>1067</v>
      </c>
      <c r="B14" s="67" t="s">
        <v>74</v>
      </c>
      <c r="C14" s="3">
        <v>1440</v>
      </c>
      <c r="D14" s="3">
        <v>8434.322580645161</v>
      </c>
      <c r="E14" s="68" t="s">
        <v>1068</v>
      </c>
    </row>
    <row r="15" spans="1:14" x14ac:dyDescent="0.4">
      <c r="A15" s="41" t="s">
        <v>1065</v>
      </c>
      <c r="B15" s="67" t="s">
        <v>77</v>
      </c>
      <c r="C15" s="3">
        <v>792</v>
      </c>
      <c r="D15" s="3">
        <v>3972.2903225806449</v>
      </c>
      <c r="E15" s="68" t="s">
        <v>1069</v>
      </c>
    </row>
    <row r="16" spans="1:14" x14ac:dyDescent="0.4">
      <c r="A16" s="41"/>
      <c r="B16" s="67" t="s">
        <v>144</v>
      </c>
      <c r="C16" s="3">
        <v>2229</v>
      </c>
      <c r="D16" s="3">
        <v>23095.83870967742</v>
      </c>
      <c r="E16" s="68" t="s">
        <v>1070</v>
      </c>
    </row>
    <row r="17" spans="1:9" x14ac:dyDescent="0.4">
      <c r="A17" s="41"/>
      <c r="B17" s="67" t="s">
        <v>81</v>
      </c>
      <c r="C17" s="3">
        <v>17</v>
      </c>
      <c r="D17" s="3">
        <v>8.5483870967741939</v>
      </c>
      <c r="E17" s="68" t="s">
        <v>1071</v>
      </c>
    </row>
    <row r="18" spans="1:9" x14ac:dyDescent="0.4">
      <c r="A18" s="41" t="s">
        <v>1067</v>
      </c>
      <c r="B18" s="67" t="s">
        <v>65</v>
      </c>
      <c r="C18" s="3">
        <v>739</v>
      </c>
      <c r="D18" s="3">
        <v>3957.516129032258</v>
      </c>
      <c r="E18" s="68" t="s">
        <v>1072</v>
      </c>
    </row>
    <row r="19" spans="1:9" x14ac:dyDescent="0.4">
      <c r="A19" s="41" t="s">
        <v>1065</v>
      </c>
      <c r="B19" s="67" t="s">
        <v>153</v>
      </c>
      <c r="C19" s="3">
        <v>6228</v>
      </c>
      <c r="D19" s="3">
        <v>23094.06451612903</v>
      </c>
      <c r="E19" s="68" t="s">
        <v>1073</v>
      </c>
    </row>
    <row r="20" spans="1:9" x14ac:dyDescent="0.4">
      <c r="A20" s="41" t="s">
        <v>1067</v>
      </c>
      <c r="B20" s="67" t="s">
        <v>63</v>
      </c>
      <c r="C20" s="3">
        <v>1348</v>
      </c>
      <c r="D20" s="3">
        <v>7788.6451612903229</v>
      </c>
      <c r="E20" s="68" t="s">
        <v>1074</v>
      </c>
    </row>
    <row r="21" spans="1:9" x14ac:dyDescent="0.4">
      <c r="A21" s="41" t="s">
        <v>1067</v>
      </c>
      <c r="B21" s="67" t="s">
        <v>58</v>
      </c>
      <c r="C21" s="3">
        <v>30</v>
      </c>
      <c r="D21" s="3">
        <v>2057.2258064516132</v>
      </c>
      <c r="E21" s="68" t="s">
        <v>360</v>
      </c>
    </row>
    <row r="22" spans="1:9" x14ac:dyDescent="0.4">
      <c r="A22" s="41" t="s">
        <v>1065</v>
      </c>
      <c r="B22" s="67" t="s">
        <v>72</v>
      </c>
      <c r="C22" s="3">
        <v>2155</v>
      </c>
      <c r="D22" s="3">
        <v>10283.93548387097</v>
      </c>
      <c r="E22" s="68" t="s">
        <v>1075</v>
      </c>
    </row>
    <row r="23" spans="1:9" x14ac:dyDescent="0.4">
      <c r="A23" s="41" t="s">
        <v>1067</v>
      </c>
      <c r="B23" s="67" t="s">
        <v>152</v>
      </c>
      <c r="C23" s="3">
        <v>3938</v>
      </c>
      <c r="D23" s="3">
        <v>24523.806451612902</v>
      </c>
      <c r="E23" s="68" t="s">
        <v>1076</v>
      </c>
    </row>
    <row r="24" spans="1:9" x14ac:dyDescent="0.4">
      <c r="A24" s="41" t="s">
        <v>1067</v>
      </c>
      <c r="B24" s="67" t="s">
        <v>73</v>
      </c>
      <c r="C24" s="3">
        <v>1344</v>
      </c>
      <c r="D24" s="3">
        <v>8907.354838709678</v>
      </c>
      <c r="E24" s="68" t="s">
        <v>1077</v>
      </c>
    </row>
    <row r="25" spans="1:9" x14ac:dyDescent="0.4">
      <c r="A25" s="41" t="s">
        <v>1065</v>
      </c>
      <c r="B25" s="67" t="s">
        <v>148</v>
      </c>
      <c r="C25" s="3">
        <v>17009</v>
      </c>
      <c r="D25" s="3">
        <v>72208.354838709682</v>
      </c>
      <c r="E25" s="68" t="s">
        <v>1078</v>
      </c>
    </row>
    <row r="26" spans="1:9" x14ac:dyDescent="0.4">
      <c r="A26" s="41" t="s">
        <v>1067</v>
      </c>
      <c r="B26" s="67" t="s">
        <v>56</v>
      </c>
      <c r="C26" s="3">
        <v>1617</v>
      </c>
      <c r="D26" s="3">
        <v>6214.9677419354839</v>
      </c>
      <c r="E26" s="68" t="s">
        <v>1079</v>
      </c>
    </row>
    <row r="27" spans="1:9" x14ac:dyDescent="0.4">
      <c r="A27" s="41" t="s">
        <v>1065</v>
      </c>
      <c r="B27" s="67" t="s">
        <v>66</v>
      </c>
      <c r="C27" s="3">
        <v>325</v>
      </c>
      <c r="D27" s="3">
        <v>3519.9354838709678</v>
      </c>
      <c r="E27" s="68" t="s">
        <v>1080</v>
      </c>
      <c r="H27" s="66"/>
      <c r="I27" s="66"/>
    </row>
    <row r="28" spans="1:9" x14ac:dyDescent="0.4">
      <c r="A28" s="41" t="s">
        <v>1067</v>
      </c>
      <c r="B28" s="67" t="s">
        <v>149</v>
      </c>
      <c r="C28" s="3">
        <v>11493</v>
      </c>
      <c r="D28" s="3">
        <v>37659.548387096773</v>
      </c>
      <c r="E28" s="68" t="s">
        <v>1081</v>
      </c>
      <c r="H28" s="66"/>
      <c r="I28" s="66"/>
    </row>
    <row r="29" spans="1:9" x14ac:dyDescent="0.4">
      <c r="A29" s="41" t="s">
        <v>1067</v>
      </c>
      <c r="B29" s="67" t="s">
        <v>75</v>
      </c>
      <c r="C29" s="3">
        <v>1858</v>
      </c>
      <c r="D29" s="3">
        <v>7636.8387096774204</v>
      </c>
      <c r="E29" s="68" t="s">
        <v>1082</v>
      </c>
    </row>
    <row r="30" spans="1:9" x14ac:dyDescent="0.4">
      <c r="A30" s="41" t="s">
        <v>1065</v>
      </c>
      <c r="B30" s="67" t="s">
        <v>69</v>
      </c>
      <c r="C30" s="3">
        <v>2155</v>
      </c>
      <c r="D30" s="3">
        <v>10145.032258064521</v>
      </c>
      <c r="E30" s="68" t="s">
        <v>1083</v>
      </c>
    </row>
    <row r="31" spans="1:9" x14ac:dyDescent="0.4">
      <c r="A31" s="41" t="s">
        <v>1067</v>
      </c>
      <c r="B31" s="67" t="s">
        <v>68</v>
      </c>
      <c r="C31" s="3">
        <v>3797</v>
      </c>
      <c r="D31" s="3">
        <v>13954.709677419351</v>
      </c>
      <c r="E31" s="68" t="s">
        <v>1084</v>
      </c>
    </row>
    <row r="32" spans="1:9" x14ac:dyDescent="0.4">
      <c r="A32" s="41" t="s">
        <v>1067</v>
      </c>
      <c r="B32" s="67" t="s">
        <v>150</v>
      </c>
      <c r="C32" s="3">
        <v>8786</v>
      </c>
      <c r="D32" s="3">
        <v>36648.967741935478</v>
      </c>
      <c r="E32" s="68" t="s">
        <v>1085</v>
      </c>
    </row>
    <row r="33" spans="1:16" x14ac:dyDescent="0.4">
      <c r="A33" s="41" t="s">
        <v>1065</v>
      </c>
      <c r="B33" s="67" t="s">
        <v>79</v>
      </c>
      <c r="C33" s="3">
        <v>435</v>
      </c>
      <c r="D33" s="3">
        <v>4749.7419354838712</v>
      </c>
      <c r="E33" s="68" t="s">
        <v>1086</v>
      </c>
    </row>
    <row r="34" spans="1:16" x14ac:dyDescent="0.4">
      <c r="A34" s="41" t="s">
        <v>1065</v>
      </c>
      <c r="B34" s="67" t="s">
        <v>154</v>
      </c>
      <c r="C34" s="3">
        <v>2629</v>
      </c>
      <c r="D34" s="3">
        <v>13757.516129032259</v>
      </c>
      <c r="E34" s="68" t="s">
        <v>1087</v>
      </c>
    </row>
    <row r="35" spans="1:16" x14ac:dyDescent="0.4">
      <c r="A35" s="41" t="s">
        <v>1065</v>
      </c>
      <c r="B35" s="67" t="s">
        <v>71</v>
      </c>
      <c r="C35" s="3">
        <v>1687</v>
      </c>
      <c r="D35" s="3">
        <v>12933.258064516131</v>
      </c>
      <c r="E35" s="68" t="s">
        <v>1088</v>
      </c>
    </row>
    <row r="36" spans="1:16" x14ac:dyDescent="0.4">
      <c r="A36" s="41" t="s">
        <v>1065</v>
      </c>
      <c r="B36" s="67" t="s">
        <v>78</v>
      </c>
      <c r="C36" s="3">
        <v>673</v>
      </c>
      <c r="D36" s="3">
        <v>3841.322580645161</v>
      </c>
      <c r="E36" s="68" t="s">
        <v>1089</v>
      </c>
    </row>
    <row r="37" spans="1:16" x14ac:dyDescent="0.4">
      <c r="A37" s="41" t="s">
        <v>1065</v>
      </c>
      <c r="B37" s="67" t="s">
        <v>54</v>
      </c>
      <c r="C37" s="3">
        <v>1903</v>
      </c>
      <c r="D37" s="3">
        <v>11312.290322580649</v>
      </c>
      <c r="E37" s="68" t="s">
        <v>1090</v>
      </c>
    </row>
    <row r="38" spans="1:16" x14ac:dyDescent="0.4">
      <c r="A38" s="41"/>
      <c r="B38" s="67" t="s">
        <v>67</v>
      </c>
      <c r="C38" s="3">
        <v>41</v>
      </c>
      <c r="D38" s="3">
        <v>76.806451612903231</v>
      </c>
      <c r="E38" s="68" t="s">
        <v>1091</v>
      </c>
    </row>
    <row r="39" spans="1:16" x14ac:dyDescent="0.4">
      <c r="A39" s="41" t="s">
        <v>1065</v>
      </c>
      <c r="B39" s="67" t="s">
        <v>76</v>
      </c>
      <c r="C39" s="3">
        <v>880</v>
      </c>
      <c r="D39" s="3">
        <v>5877.677419354839</v>
      </c>
      <c r="E39" s="68" t="s">
        <v>1092</v>
      </c>
    </row>
    <row r="40" spans="1:16" x14ac:dyDescent="0.4">
      <c r="A40" s="41" t="s">
        <v>1065</v>
      </c>
      <c r="B40" s="67" t="s">
        <v>155</v>
      </c>
      <c r="C40" s="3">
        <v>2401</v>
      </c>
      <c r="D40" s="3">
        <v>13734.709677419351</v>
      </c>
      <c r="E40" s="68" t="s">
        <v>1093</v>
      </c>
    </row>
    <row r="41" spans="1:16" x14ac:dyDescent="0.4">
      <c r="A41" s="41" t="s">
        <v>1067</v>
      </c>
      <c r="B41" s="67" t="s">
        <v>156</v>
      </c>
      <c r="C41" s="3">
        <v>1755</v>
      </c>
      <c r="D41" s="3">
        <v>7903.0322580645161</v>
      </c>
      <c r="E41" s="68" t="s">
        <v>1094</v>
      </c>
      <c r="F41" s="66"/>
    </row>
    <row r="42" spans="1:16" x14ac:dyDescent="0.4">
      <c r="A42" s="41" t="s">
        <v>1067</v>
      </c>
      <c r="B42" s="67" t="s">
        <v>70</v>
      </c>
      <c r="C42" s="3">
        <v>1899</v>
      </c>
      <c r="D42" s="3">
        <v>13265.870967741939</v>
      </c>
      <c r="E42" s="68" t="s">
        <v>1095</v>
      </c>
      <c r="F42" s="66"/>
    </row>
    <row r="43" spans="1:16" x14ac:dyDescent="0.4">
      <c r="A43" s="41" t="s">
        <v>1067</v>
      </c>
      <c r="B43" s="67" t="s">
        <v>80</v>
      </c>
      <c r="C43" s="3">
        <v>41</v>
      </c>
      <c r="D43" s="3">
        <v>1231.4516129032261</v>
      </c>
      <c r="E43" s="68" t="s">
        <v>1096</v>
      </c>
      <c r="F43" s="66"/>
    </row>
    <row r="44" spans="1:16" x14ac:dyDescent="0.4">
      <c r="A44" s="41" t="s">
        <v>1067</v>
      </c>
      <c r="B44" s="67" t="s">
        <v>64</v>
      </c>
      <c r="C44" s="3">
        <v>843</v>
      </c>
      <c r="D44" s="3">
        <v>7248.5806451612907</v>
      </c>
      <c r="E44" s="68" t="s">
        <v>1097</v>
      </c>
      <c r="F44" s="66"/>
    </row>
    <row r="45" spans="1:16" x14ac:dyDescent="0.4">
      <c r="F45" s="66"/>
    </row>
    <row r="46" spans="1:16" x14ac:dyDescent="0.4">
      <c r="F46" s="66"/>
    </row>
    <row r="47" spans="1:16" x14ac:dyDescent="0.4">
      <c r="A47" s="69" t="s">
        <v>141</v>
      </c>
      <c r="B47" s="69" t="s">
        <v>62</v>
      </c>
      <c r="C47" s="69" t="s">
        <v>0</v>
      </c>
      <c r="D47" s="69" t="s">
        <v>139</v>
      </c>
      <c r="E47" s="69" t="s">
        <v>142</v>
      </c>
      <c r="F47" s="69" t="s">
        <v>84</v>
      </c>
      <c r="G47" s="69" t="s">
        <v>61</v>
      </c>
      <c r="H47" s="69" t="s">
        <v>82</v>
      </c>
      <c r="I47" s="69" t="s">
        <v>83</v>
      </c>
      <c r="J47" s="69" t="s">
        <v>89</v>
      </c>
      <c r="K47" s="69" t="s">
        <v>86</v>
      </c>
      <c r="L47" s="69" t="s">
        <v>85</v>
      </c>
      <c r="M47" s="69" t="s">
        <v>90</v>
      </c>
      <c r="N47" s="69" t="s">
        <v>7</v>
      </c>
      <c r="O47" s="69" t="s">
        <v>10</v>
      </c>
      <c r="P47" s="69" t="s">
        <v>3</v>
      </c>
    </row>
    <row r="48" spans="1:16" x14ac:dyDescent="0.4">
      <c r="A48" s="4" t="s">
        <v>93</v>
      </c>
      <c r="B48" s="70" t="s">
        <v>104</v>
      </c>
      <c r="C48" s="4" t="s">
        <v>110</v>
      </c>
      <c r="D48" s="4">
        <v>232</v>
      </c>
      <c r="E48" s="4">
        <v>127</v>
      </c>
      <c r="F48" s="5">
        <v>31963</v>
      </c>
      <c r="G48" s="5">
        <v>115970</v>
      </c>
      <c r="H48" s="6">
        <v>-84007</v>
      </c>
      <c r="I48" s="4" t="s">
        <v>101</v>
      </c>
      <c r="J48" s="5">
        <v>2318025</v>
      </c>
      <c r="K48" s="5">
        <v>31963</v>
      </c>
      <c r="L48" s="5">
        <v>6817755</v>
      </c>
      <c r="M48" s="5">
        <v>36862</v>
      </c>
      <c r="N48" s="7" t="s">
        <v>676</v>
      </c>
      <c r="O48" s="7" t="s">
        <v>1098</v>
      </c>
      <c r="P48" s="11">
        <v>45489</v>
      </c>
    </row>
    <row r="49" spans="1:16" x14ac:dyDescent="0.4">
      <c r="A49" s="4" t="s">
        <v>93</v>
      </c>
      <c r="B49" s="70" t="s">
        <v>105</v>
      </c>
      <c r="C49" s="4" t="s">
        <v>122</v>
      </c>
      <c r="D49" s="4">
        <v>224</v>
      </c>
      <c r="E49" s="4">
        <v>100</v>
      </c>
      <c r="F49" s="5">
        <v>20342</v>
      </c>
      <c r="G49" s="5">
        <v>93717</v>
      </c>
      <c r="H49" s="6">
        <v>-73375</v>
      </c>
      <c r="I49" s="4" t="s">
        <v>101</v>
      </c>
      <c r="J49" s="5">
        <v>3078861</v>
      </c>
      <c r="K49" s="5">
        <v>20342</v>
      </c>
      <c r="L49" s="5">
        <v>6562368</v>
      </c>
      <c r="M49" s="5">
        <v>22731</v>
      </c>
      <c r="N49" s="7" t="s">
        <v>289</v>
      </c>
      <c r="O49" s="7" t="s">
        <v>1099</v>
      </c>
      <c r="P49" s="11">
        <v>45489</v>
      </c>
    </row>
    <row r="50" spans="1:16" x14ac:dyDescent="0.4">
      <c r="A50" s="4" t="s">
        <v>92</v>
      </c>
      <c r="B50" s="70" t="s">
        <v>178</v>
      </c>
      <c r="C50" s="4" t="s">
        <v>133</v>
      </c>
      <c r="D50" s="4">
        <v>348</v>
      </c>
      <c r="E50" s="4">
        <v>182</v>
      </c>
      <c r="F50" s="5">
        <v>51527</v>
      </c>
      <c r="G50" s="5">
        <v>209686</v>
      </c>
      <c r="H50" s="6">
        <v>-158159</v>
      </c>
      <c r="I50" s="4" t="s">
        <v>101</v>
      </c>
      <c r="J50" s="5">
        <v>4268202</v>
      </c>
      <c r="K50" s="5">
        <v>51527</v>
      </c>
      <c r="L50" s="5">
        <v>10790297</v>
      </c>
      <c r="M50" s="5">
        <v>63805</v>
      </c>
      <c r="N50" s="7" t="s">
        <v>409</v>
      </c>
      <c r="O50" s="7" t="s">
        <v>1100</v>
      </c>
      <c r="P50" s="11">
        <v>45489</v>
      </c>
    </row>
    <row r="53" spans="1:16" x14ac:dyDescent="0.4">
      <c r="A53" s="69" t="s">
        <v>753</v>
      </c>
      <c r="B53" s="69" t="s">
        <v>754</v>
      </c>
    </row>
    <row r="54" spans="1:16" x14ac:dyDescent="0.4">
      <c r="A54" s="4" t="s">
        <v>1037</v>
      </c>
      <c r="B54" s="70">
        <v>184</v>
      </c>
    </row>
    <row r="55" spans="1:16" x14ac:dyDescent="0.4">
      <c r="A55" s="4" t="s">
        <v>1041</v>
      </c>
      <c r="B55" s="70">
        <v>183</v>
      </c>
    </row>
    <row r="56" spans="1:16" x14ac:dyDescent="0.4">
      <c r="A56" s="4" t="s">
        <v>1101</v>
      </c>
      <c r="B56" s="70">
        <v>156</v>
      </c>
    </row>
  </sheetData>
  <phoneticPr fontId="9" type="noConversion"/>
  <pageMargins left="0.7" right="0.7" top="0.75" bottom="0.75" header="0.3" footer="0.3"/>
  <pageSetup paperSize="9" orientation="portrait" horizontalDpi="4294967294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21"/>
  <sheetViews>
    <sheetView topLeftCell="A612" zoomScale="85" zoomScaleNormal="85" workbookViewId="0">
      <selection activeCell="A619" sqref="A619:P621"/>
    </sheetView>
  </sheetViews>
  <sheetFormatPr defaultColWidth="8.58203125" defaultRowHeight="15" x14ac:dyDescent="0.25"/>
  <cols>
    <col min="1" max="7" width="8.58203125" style="2"/>
    <col min="8" max="8" width="13" style="2" customWidth="1"/>
    <col min="9" max="9" width="8.58203125" style="2"/>
    <col min="10" max="10" width="11.08203125" style="2" bestFit="1" customWidth="1"/>
    <col min="11" max="11" width="8.58203125" style="2"/>
    <col min="12" max="12" width="11.08203125" style="2" bestFit="1" customWidth="1"/>
    <col min="13" max="15" width="8.58203125" style="2"/>
    <col min="16" max="16" width="17.08203125" style="81" customWidth="1"/>
    <col min="17" max="17" width="12.58203125" style="2" customWidth="1"/>
    <col min="18" max="18" width="9.5" style="2" bestFit="1" customWidth="1"/>
    <col min="19" max="19" width="7.5" style="2" bestFit="1" customWidth="1"/>
    <col min="20" max="20" width="25.08203125" style="2" customWidth="1"/>
    <col min="21" max="16384" width="8.58203125" style="2"/>
  </cols>
  <sheetData>
    <row r="1" spans="1:26" x14ac:dyDescent="0.25">
      <c r="A1" s="78" t="s">
        <v>764</v>
      </c>
      <c r="B1" s="78" t="s">
        <v>62</v>
      </c>
      <c r="C1" s="78" t="s">
        <v>0</v>
      </c>
      <c r="D1" s="78" t="s">
        <v>765</v>
      </c>
      <c r="E1" s="78" t="s">
        <v>766</v>
      </c>
      <c r="F1" s="78" t="s">
        <v>84</v>
      </c>
      <c r="G1" s="78" t="s">
        <v>61</v>
      </c>
      <c r="H1" s="78" t="s">
        <v>82</v>
      </c>
      <c r="I1" s="78" t="s">
        <v>83</v>
      </c>
      <c r="J1" s="78" t="s">
        <v>89</v>
      </c>
      <c r="K1" s="78" t="s">
        <v>86</v>
      </c>
      <c r="L1" s="78" t="s">
        <v>85</v>
      </c>
      <c r="M1" s="78" t="s">
        <v>90</v>
      </c>
      <c r="N1" s="78" t="s">
        <v>7</v>
      </c>
      <c r="O1" s="78" t="s">
        <v>10</v>
      </c>
      <c r="P1" s="79" t="s">
        <v>767</v>
      </c>
      <c r="Q1" s="80" t="s">
        <v>768</v>
      </c>
      <c r="R1" s="80" t="str">
        <f>L1</f>
        <v>展示量</v>
      </c>
      <c r="S1" s="80" t="str">
        <f>M1</f>
        <v>打开量</v>
      </c>
      <c r="T1" s="80" t="s">
        <v>769</v>
      </c>
      <c r="U1" s="80" t="s">
        <v>770</v>
      </c>
      <c r="V1" s="80" t="s">
        <v>771</v>
      </c>
      <c r="Y1" s="4" t="s">
        <v>93</v>
      </c>
      <c r="Z1" s="70" t="s">
        <v>104</v>
      </c>
    </row>
    <row r="2" spans="1:26" ht="16.5" x14ac:dyDescent="0.4">
      <c r="A2" s="4" t="s">
        <v>93</v>
      </c>
      <c r="B2" s="70" t="s">
        <v>104</v>
      </c>
      <c r="C2" s="4" t="s">
        <v>110</v>
      </c>
      <c r="D2" s="4">
        <v>139</v>
      </c>
      <c r="E2" s="4">
        <v>109</v>
      </c>
      <c r="F2" s="5">
        <v>36099</v>
      </c>
      <c r="G2" s="5">
        <v>115970</v>
      </c>
      <c r="H2" s="6">
        <v>-79871</v>
      </c>
      <c r="I2" s="4" t="s">
        <v>101</v>
      </c>
      <c r="J2" s="5">
        <v>3064811</v>
      </c>
      <c r="K2" s="5">
        <v>36099</v>
      </c>
      <c r="L2" s="5">
        <v>11905909</v>
      </c>
      <c r="M2" s="5">
        <v>39420</v>
      </c>
      <c r="N2" s="7" t="s">
        <v>129</v>
      </c>
      <c r="O2" s="7" t="s">
        <v>186</v>
      </c>
      <c r="P2" s="11">
        <v>45292</v>
      </c>
      <c r="Q2" s="2" t="str">
        <f t="shared" ref="Q2:Q65" si="0">P2&amp;A2&amp;B2</f>
        <v>45292早班本地一区</v>
      </c>
      <c r="R2" s="2">
        <f t="shared" ref="R2:S17" si="1">L2</f>
        <v>11905909</v>
      </c>
      <c r="S2" s="2">
        <f t="shared" si="1"/>
        <v>39420</v>
      </c>
      <c r="T2" s="2" t="str">
        <f t="shared" ref="T2:T65" si="2">P2&amp;B2&amp;"-"&amp;A2</f>
        <v>45292本地一区-早班</v>
      </c>
      <c r="U2" s="2">
        <f t="shared" ref="U2:U65" si="3">O2*1</f>
        <v>3.3109599999999999E-3</v>
      </c>
      <c r="V2" s="2" t="str">
        <f t="shared" ref="V2:V65" si="4">C2</f>
        <v>赵勇</v>
      </c>
    </row>
    <row r="3" spans="1:26" ht="16.5" x14ac:dyDescent="0.4">
      <c r="A3" s="4" t="s">
        <v>93</v>
      </c>
      <c r="B3" s="70" t="s">
        <v>105</v>
      </c>
      <c r="C3" s="4" t="s">
        <v>133</v>
      </c>
      <c r="D3" s="4">
        <v>177</v>
      </c>
      <c r="E3" s="4">
        <v>97</v>
      </c>
      <c r="F3" s="5">
        <v>28772</v>
      </c>
      <c r="G3" s="5">
        <v>93717</v>
      </c>
      <c r="H3" s="6">
        <v>-64945</v>
      </c>
      <c r="I3" s="4" t="s">
        <v>101</v>
      </c>
      <c r="J3" s="5">
        <v>1684204</v>
      </c>
      <c r="K3" s="5">
        <v>28772</v>
      </c>
      <c r="L3" s="5">
        <v>8234359</v>
      </c>
      <c r="M3" s="5">
        <v>31223</v>
      </c>
      <c r="N3" s="7" t="s">
        <v>132</v>
      </c>
      <c r="O3" s="7" t="s">
        <v>187</v>
      </c>
      <c r="P3" s="11">
        <v>45292</v>
      </c>
      <c r="Q3" s="2" t="str">
        <f t="shared" si="0"/>
        <v>45292早班本地二区</v>
      </c>
      <c r="R3" s="2">
        <f t="shared" si="1"/>
        <v>8234359</v>
      </c>
      <c r="S3" s="2">
        <f t="shared" si="1"/>
        <v>31223</v>
      </c>
      <c r="T3" s="2" t="str">
        <f t="shared" si="2"/>
        <v>45292本地二区-早班</v>
      </c>
      <c r="U3" s="2">
        <f t="shared" si="3"/>
        <v>3.7917900000000002E-3</v>
      </c>
      <c r="V3" s="2" t="str">
        <f t="shared" si="4"/>
        <v>林好男</v>
      </c>
    </row>
    <row r="4" spans="1:26" ht="16.5" x14ac:dyDescent="0.4">
      <c r="A4" s="4" t="s">
        <v>92</v>
      </c>
      <c r="B4" s="70" t="s">
        <v>104</v>
      </c>
      <c r="C4" s="4" t="s">
        <v>111</v>
      </c>
      <c r="D4" s="4">
        <v>153</v>
      </c>
      <c r="E4" s="4">
        <v>102</v>
      </c>
      <c r="F4" s="5">
        <v>41734</v>
      </c>
      <c r="G4" s="5">
        <v>115970</v>
      </c>
      <c r="H4" s="6">
        <v>-74236</v>
      </c>
      <c r="I4" s="4" t="s">
        <v>101</v>
      </c>
      <c r="J4" s="5">
        <v>4585346</v>
      </c>
      <c r="K4" s="5">
        <v>41734</v>
      </c>
      <c r="L4" s="5">
        <v>10593793</v>
      </c>
      <c r="M4" s="5">
        <v>44362</v>
      </c>
      <c r="N4" s="7" t="s">
        <v>163</v>
      </c>
      <c r="O4" s="7" t="s">
        <v>188</v>
      </c>
      <c r="P4" s="11">
        <v>45292</v>
      </c>
      <c r="Q4" s="2" t="str">
        <f t="shared" si="0"/>
        <v>45292下午班本地一区</v>
      </c>
      <c r="R4" s="2">
        <f t="shared" si="1"/>
        <v>10593793</v>
      </c>
      <c r="S4" s="2">
        <f t="shared" si="1"/>
        <v>44362</v>
      </c>
      <c r="T4" s="2" t="str">
        <f t="shared" si="2"/>
        <v>45292本地一区-下午班</v>
      </c>
      <c r="U4" s="2">
        <f t="shared" si="3"/>
        <v>4.18755E-3</v>
      </c>
      <c r="V4" s="2" t="str">
        <f t="shared" si="4"/>
        <v>陈楠</v>
      </c>
    </row>
    <row r="5" spans="1:26" ht="16.5" x14ac:dyDescent="0.4">
      <c r="A5" s="4" t="s">
        <v>92</v>
      </c>
      <c r="B5" s="70" t="s">
        <v>105</v>
      </c>
      <c r="C5" s="4" t="s">
        <v>122</v>
      </c>
      <c r="D5" s="4">
        <v>175</v>
      </c>
      <c r="E5" s="4">
        <v>103</v>
      </c>
      <c r="F5" s="5">
        <v>28580</v>
      </c>
      <c r="G5" s="5">
        <v>93717</v>
      </c>
      <c r="H5" s="6">
        <v>-65137</v>
      </c>
      <c r="I5" s="4" t="s">
        <v>101</v>
      </c>
      <c r="J5" s="5">
        <v>2351061</v>
      </c>
      <c r="K5" s="5">
        <v>28580</v>
      </c>
      <c r="L5" s="5">
        <v>7733043</v>
      </c>
      <c r="M5" s="5">
        <v>31218</v>
      </c>
      <c r="N5" s="7" t="s">
        <v>121</v>
      </c>
      <c r="O5" s="7" t="s">
        <v>189</v>
      </c>
      <c r="P5" s="11">
        <v>45292</v>
      </c>
      <c r="Q5" s="2" t="str">
        <f t="shared" si="0"/>
        <v>45292下午班本地二区</v>
      </c>
      <c r="R5" s="2">
        <f t="shared" si="1"/>
        <v>7733043</v>
      </c>
      <c r="S5" s="2">
        <f t="shared" si="1"/>
        <v>31218</v>
      </c>
      <c r="T5" s="2" t="str">
        <f t="shared" si="2"/>
        <v>45292本地二区-下午班</v>
      </c>
      <c r="U5" s="2">
        <f t="shared" si="3"/>
        <v>4.03696E-3</v>
      </c>
      <c r="V5" s="2" t="str">
        <f t="shared" si="4"/>
        <v>赵依然</v>
      </c>
    </row>
    <row r="6" spans="1:26" ht="16.5" x14ac:dyDescent="0.4">
      <c r="A6" s="4" t="s">
        <v>93</v>
      </c>
      <c r="B6" s="70" t="s">
        <v>104</v>
      </c>
      <c r="C6" s="4" t="s">
        <v>133</v>
      </c>
      <c r="D6" s="4">
        <v>148</v>
      </c>
      <c r="E6" s="4">
        <v>93</v>
      </c>
      <c r="F6" s="5">
        <v>42380</v>
      </c>
      <c r="G6" s="5">
        <v>115970</v>
      </c>
      <c r="H6" s="6">
        <v>-73590</v>
      </c>
      <c r="I6" s="4" t="s">
        <v>101</v>
      </c>
      <c r="J6" s="5">
        <v>2493625</v>
      </c>
      <c r="K6" s="5">
        <v>42380</v>
      </c>
      <c r="L6" s="5">
        <v>10966484</v>
      </c>
      <c r="M6" s="5">
        <v>47019</v>
      </c>
      <c r="N6" s="7" t="s">
        <v>134</v>
      </c>
      <c r="O6" s="7" t="s">
        <v>190</v>
      </c>
      <c r="P6" s="11">
        <v>45293</v>
      </c>
      <c r="Q6" s="2" t="str">
        <f t="shared" si="0"/>
        <v>45293早班本地一区</v>
      </c>
      <c r="R6" s="2">
        <f t="shared" si="1"/>
        <v>10966484</v>
      </c>
      <c r="S6" s="2">
        <f t="shared" si="1"/>
        <v>47019</v>
      </c>
      <c r="T6" s="2" t="str">
        <f t="shared" si="2"/>
        <v>45293本地一区-早班</v>
      </c>
      <c r="U6" s="2">
        <f t="shared" si="3"/>
        <v>4.2875200000000004E-3</v>
      </c>
      <c r="V6" s="2" t="str">
        <f t="shared" si="4"/>
        <v>林好男</v>
      </c>
    </row>
    <row r="7" spans="1:26" ht="16.5" x14ac:dyDescent="0.4">
      <c r="A7" s="4" t="s">
        <v>93</v>
      </c>
      <c r="B7" s="70" t="s">
        <v>105</v>
      </c>
      <c r="C7" s="4" t="s">
        <v>110</v>
      </c>
      <c r="D7" s="4">
        <v>151</v>
      </c>
      <c r="E7" s="4">
        <v>107</v>
      </c>
      <c r="F7" s="5">
        <v>29502</v>
      </c>
      <c r="G7" s="5">
        <v>93717</v>
      </c>
      <c r="H7" s="6">
        <v>-64215</v>
      </c>
      <c r="I7" s="4" t="s">
        <v>101</v>
      </c>
      <c r="J7" s="5">
        <v>2382563</v>
      </c>
      <c r="K7" s="5">
        <v>29502</v>
      </c>
      <c r="L7" s="5">
        <v>8618530</v>
      </c>
      <c r="M7" s="5">
        <v>31790</v>
      </c>
      <c r="N7" s="7" t="s">
        <v>117</v>
      </c>
      <c r="O7" s="7" t="s">
        <v>191</v>
      </c>
      <c r="P7" s="11">
        <v>45293</v>
      </c>
      <c r="Q7" s="2" t="str">
        <f t="shared" si="0"/>
        <v>45293早班本地二区</v>
      </c>
      <c r="R7" s="2">
        <f t="shared" si="1"/>
        <v>8618530</v>
      </c>
      <c r="S7" s="2">
        <f t="shared" si="1"/>
        <v>31790</v>
      </c>
      <c r="T7" s="2" t="str">
        <f t="shared" si="2"/>
        <v>45293本地二区-早班</v>
      </c>
      <c r="U7" s="2">
        <f t="shared" si="3"/>
        <v>3.68856E-3</v>
      </c>
      <c r="V7" s="2" t="str">
        <f t="shared" si="4"/>
        <v>赵勇</v>
      </c>
    </row>
    <row r="8" spans="1:26" ht="16.5" x14ac:dyDescent="0.4">
      <c r="A8" s="4" t="s">
        <v>92</v>
      </c>
      <c r="B8" s="70" t="s">
        <v>104</v>
      </c>
      <c r="C8" s="4" t="s">
        <v>158</v>
      </c>
      <c r="D8" s="4">
        <v>168</v>
      </c>
      <c r="E8" s="4">
        <v>102</v>
      </c>
      <c r="F8" s="5">
        <v>45663</v>
      </c>
      <c r="G8" s="5">
        <v>115970</v>
      </c>
      <c r="H8" s="6">
        <v>-70307</v>
      </c>
      <c r="I8" s="4" t="s">
        <v>101</v>
      </c>
      <c r="J8" s="5">
        <v>3108036</v>
      </c>
      <c r="K8" s="5">
        <v>45663</v>
      </c>
      <c r="L8" s="5">
        <v>8986739</v>
      </c>
      <c r="M8" s="5">
        <v>50242</v>
      </c>
      <c r="N8" s="7" t="s">
        <v>119</v>
      </c>
      <c r="O8" s="7" t="s">
        <v>192</v>
      </c>
      <c r="P8" s="11">
        <v>45293</v>
      </c>
      <c r="Q8" s="2" t="str">
        <f t="shared" si="0"/>
        <v>45293下午班本地一区</v>
      </c>
      <c r="R8" s="2">
        <f t="shared" si="1"/>
        <v>8986739</v>
      </c>
      <c r="S8" s="2">
        <f t="shared" si="1"/>
        <v>50242</v>
      </c>
      <c r="T8" s="2" t="str">
        <f t="shared" si="2"/>
        <v>45293本地一区-下午班</v>
      </c>
      <c r="U8" s="2">
        <f t="shared" si="3"/>
        <v>5.5906799999999998E-3</v>
      </c>
      <c r="V8" s="2" t="str">
        <f t="shared" si="4"/>
        <v>李晓晗</v>
      </c>
    </row>
    <row r="9" spans="1:26" ht="16.5" x14ac:dyDescent="0.4">
      <c r="A9" s="4" t="s">
        <v>92</v>
      </c>
      <c r="B9" s="70" t="s">
        <v>105</v>
      </c>
      <c r="C9" s="4" t="s">
        <v>122</v>
      </c>
      <c r="D9" s="4">
        <v>157</v>
      </c>
      <c r="E9" s="4">
        <v>101</v>
      </c>
      <c r="F9" s="5">
        <v>38687</v>
      </c>
      <c r="G9" s="5">
        <v>93717</v>
      </c>
      <c r="H9" s="6">
        <v>-55030</v>
      </c>
      <c r="I9" s="4" t="s">
        <v>101</v>
      </c>
      <c r="J9" s="5">
        <v>4020747</v>
      </c>
      <c r="K9" s="5">
        <v>38687</v>
      </c>
      <c r="L9" s="5">
        <v>9939380</v>
      </c>
      <c r="M9" s="5">
        <v>42931</v>
      </c>
      <c r="N9" s="7" t="s">
        <v>160</v>
      </c>
      <c r="O9" s="7" t="s">
        <v>193</v>
      </c>
      <c r="P9" s="11">
        <v>45293</v>
      </c>
      <c r="Q9" s="2" t="str">
        <f t="shared" si="0"/>
        <v>45293下午班本地二区</v>
      </c>
      <c r="R9" s="2">
        <f t="shared" si="1"/>
        <v>9939380</v>
      </c>
      <c r="S9" s="2">
        <f t="shared" si="1"/>
        <v>42931</v>
      </c>
      <c r="T9" s="2" t="str">
        <f t="shared" si="2"/>
        <v>45293本地二区-下午班</v>
      </c>
      <c r="U9" s="2">
        <f t="shared" si="3"/>
        <v>4.31928E-3</v>
      </c>
      <c r="V9" s="2" t="str">
        <f t="shared" si="4"/>
        <v>赵依然</v>
      </c>
    </row>
    <row r="10" spans="1:26" ht="16.5" x14ac:dyDescent="0.4">
      <c r="A10" s="4" t="s">
        <v>93</v>
      </c>
      <c r="B10" s="70" t="s">
        <v>104</v>
      </c>
      <c r="C10" s="4" t="s">
        <v>133</v>
      </c>
      <c r="D10" s="4">
        <v>188</v>
      </c>
      <c r="E10" s="4">
        <v>109</v>
      </c>
      <c r="F10" s="5">
        <v>46888</v>
      </c>
      <c r="G10" s="5">
        <v>115970</v>
      </c>
      <c r="H10" s="6">
        <v>-69082</v>
      </c>
      <c r="I10" s="4" t="s">
        <v>101</v>
      </c>
      <c r="J10" s="5">
        <v>3174238</v>
      </c>
      <c r="K10" s="5">
        <v>46888</v>
      </c>
      <c r="L10" s="5">
        <v>12999222</v>
      </c>
      <c r="M10" s="5">
        <v>52455</v>
      </c>
      <c r="N10" s="7" t="s">
        <v>112</v>
      </c>
      <c r="O10" s="7" t="s">
        <v>194</v>
      </c>
      <c r="P10" s="11">
        <v>45294</v>
      </c>
      <c r="Q10" s="2" t="str">
        <f t="shared" si="0"/>
        <v>45294早班本地一区</v>
      </c>
      <c r="R10" s="2">
        <f t="shared" si="1"/>
        <v>12999222</v>
      </c>
      <c r="S10" s="2">
        <f t="shared" si="1"/>
        <v>52455</v>
      </c>
      <c r="T10" s="2" t="str">
        <f t="shared" si="2"/>
        <v>45294本地一区-早班</v>
      </c>
      <c r="U10" s="2">
        <f t="shared" si="3"/>
        <v>4.0352399999999998E-3</v>
      </c>
      <c r="V10" s="2" t="str">
        <f t="shared" si="4"/>
        <v>林好男</v>
      </c>
    </row>
    <row r="11" spans="1:26" ht="16.5" x14ac:dyDescent="0.4">
      <c r="A11" s="4" t="s">
        <v>93</v>
      </c>
      <c r="B11" s="70" t="s">
        <v>105</v>
      </c>
      <c r="C11" s="4" t="s">
        <v>110</v>
      </c>
      <c r="D11" s="4">
        <v>182</v>
      </c>
      <c r="E11" s="4">
        <v>118</v>
      </c>
      <c r="F11" s="5">
        <v>39258</v>
      </c>
      <c r="G11" s="5">
        <v>93717</v>
      </c>
      <c r="H11" s="6">
        <v>-54459</v>
      </c>
      <c r="I11" s="4" t="s">
        <v>101</v>
      </c>
      <c r="J11" s="5">
        <v>3357650</v>
      </c>
      <c r="K11" s="5">
        <v>39258</v>
      </c>
      <c r="L11" s="5">
        <v>12905819</v>
      </c>
      <c r="M11" s="5">
        <v>43046</v>
      </c>
      <c r="N11" s="7" t="s">
        <v>170</v>
      </c>
      <c r="O11" s="7" t="s">
        <v>195</v>
      </c>
      <c r="P11" s="11">
        <v>45294</v>
      </c>
      <c r="Q11" s="2" t="str">
        <f t="shared" si="0"/>
        <v>45294早班本地二区</v>
      </c>
      <c r="R11" s="2">
        <f t="shared" si="1"/>
        <v>12905819</v>
      </c>
      <c r="S11" s="2">
        <f t="shared" si="1"/>
        <v>43046</v>
      </c>
      <c r="T11" s="2" t="str">
        <f t="shared" si="2"/>
        <v>45294本地二区-早班</v>
      </c>
      <c r="U11" s="2">
        <f t="shared" si="3"/>
        <v>3.3353900000000001E-3</v>
      </c>
      <c r="V11" s="2" t="str">
        <f t="shared" si="4"/>
        <v>赵勇</v>
      </c>
    </row>
    <row r="12" spans="1:26" ht="16.5" x14ac:dyDescent="0.4">
      <c r="A12" s="4" t="s">
        <v>92</v>
      </c>
      <c r="B12" s="70" t="s">
        <v>104</v>
      </c>
      <c r="C12" s="4" t="s">
        <v>122</v>
      </c>
      <c r="D12" s="4">
        <v>155</v>
      </c>
      <c r="E12" s="4">
        <v>106</v>
      </c>
      <c r="F12" s="5">
        <v>39951</v>
      </c>
      <c r="G12" s="5">
        <v>115970</v>
      </c>
      <c r="H12" s="6">
        <v>-76019</v>
      </c>
      <c r="I12" s="4" t="s">
        <v>101</v>
      </c>
      <c r="J12" s="5">
        <v>3437555</v>
      </c>
      <c r="K12" s="5">
        <v>39951</v>
      </c>
      <c r="L12" s="5">
        <v>10293919</v>
      </c>
      <c r="M12" s="5">
        <v>44884</v>
      </c>
      <c r="N12" s="7" t="s">
        <v>128</v>
      </c>
      <c r="O12" s="7" t="s">
        <v>196</v>
      </c>
      <c r="P12" s="11">
        <v>45294</v>
      </c>
      <c r="Q12" s="2" t="str">
        <f t="shared" si="0"/>
        <v>45294下午班本地一区</v>
      </c>
      <c r="R12" s="2">
        <f t="shared" si="1"/>
        <v>10293919</v>
      </c>
      <c r="S12" s="2">
        <f t="shared" si="1"/>
        <v>44884</v>
      </c>
      <c r="T12" s="2" t="str">
        <f t="shared" si="2"/>
        <v>45294本地一区-下午班</v>
      </c>
      <c r="U12" s="2">
        <f t="shared" si="3"/>
        <v>4.3602399999999996E-3</v>
      </c>
      <c r="V12" s="2" t="str">
        <f t="shared" si="4"/>
        <v>赵依然</v>
      </c>
    </row>
    <row r="13" spans="1:26" ht="16.5" x14ac:dyDescent="0.4">
      <c r="A13" s="4" t="s">
        <v>92</v>
      </c>
      <c r="B13" s="70" t="s">
        <v>105</v>
      </c>
      <c r="C13" s="4" t="s">
        <v>158</v>
      </c>
      <c r="D13" s="4">
        <v>155</v>
      </c>
      <c r="E13" s="4">
        <v>109</v>
      </c>
      <c r="F13" s="5">
        <v>34107</v>
      </c>
      <c r="G13" s="5">
        <v>93717</v>
      </c>
      <c r="H13" s="6">
        <v>-59610</v>
      </c>
      <c r="I13" s="4" t="s">
        <v>101</v>
      </c>
      <c r="J13" s="5">
        <v>3109980</v>
      </c>
      <c r="K13" s="5">
        <v>34107</v>
      </c>
      <c r="L13" s="5">
        <v>7593624</v>
      </c>
      <c r="M13" s="5">
        <v>36663</v>
      </c>
      <c r="N13" s="7" t="s">
        <v>157</v>
      </c>
      <c r="O13" s="7" t="s">
        <v>197</v>
      </c>
      <c r="P13" s="11">
        <v>45294</v>
      </c>
      <c r="Q13" s="2" t="str">
        <f t="shared" si="0"/>
        <v>45294下午班本地二区</v>
      </c>
      <c r="R13" s="2">
        <f t="shared" si="1"/>
        <v>7593624</v>
      </c>
      <c r="S13" s="2">
        <f t="shared" si="1"/>
        <v>36663</v>
      </c>
      <c r="T13" s="2" t="str">
        <f t="shared" si="2"/>
        <v>45294本地二区-下午班</v>
      </c>
      <c r="U13" s="2">
        <f t="shared" si="3"/>
        <v>4.8281299999999999E-3</v>
      </c>
      <c r="V13" s="2" t="str">
        <f t="shared" si="4"/>
        <v>李晓晗</v>
      </c>
    </row>
    <row r="14" spans="1:26" ht="16.5" x14ac:dyDescent="0.4">
      <c r="A14" s="4" t="s">
        <v>93</v>
      </c>
      <c r="B14" s="70" t="s">
        <v>104</v>
      </c>
      <c r="C14" s="4" t="s">
        <v>110</v>
      </c>
      <c r="D14" s="4">
        <v>167</v>
      </c>
      <c r="E14" s="4">
        <v>109</v>
      </c>
      <c r="F14" s="5">
        <v>48669</v>
      </c>
      <c r="G14" s="5">
        <v>115970</v>
      </c>
      <c r="H14" s="6">
        <v>-67301</v>
      </c>
      <c r="I14" s="4" t="s">
        <v>101</v>
      </c>
      <c r="J14" s="5">
        <v>4361785</v>
      </c>
      <c r="K14" s="5">
        <v>48669</v>
      </c>
      <c r="L14" s="5">
        <v>14573227</v>
      </c>
      <c r="M14" s="5">
        <v>54069</v>
      </c>
      <c r="N14" s="7" t="s">
        <v>116</v>
      </c>
      <c r="O14" s="7" t="s">
        <v>199</v>
      </c>
      <c r="P14" s="11">
        <v>45295</v>
      </c>
      <c r="Q14" s="2" t="str">
        <f t="shared" si="0"/>
        <v>45295早班本地一区</v>
      </c>
      <c r="R14" s="2">
        <f t="shared" si="1"/>
        <v>14573227</v>
      </c>
      <c r="S14" s="2">
        <f t="shared" si="1"/>
        <v>54069</v>
      </c>
      <c r="T14" s="2" t="str">
        <f t="shared" si="2"/>
        <v>45295本地一区-早班</v>
      </c>
      <c r="U14" s="2">
        <f t="shared" si="3"/>
        <v>3.7101600000000001E-3</v>
      </c>
      <c r="V14" s="2" t="str">
        <f t="shared" si="4"/>
        <v>赵勇</v>
      </c>
    </row>
    <row r="15" spans="1:26" ht="16.5" x14ac:dyDescent="0.4">
      <c r="A15" s="4" t="s">
        <v>93</v>
      </c>
      <c r="B15" s="70" t="s">
        <v>105</v>
      </c>
      <c r="C15" s="4" t="s">
        <v>133</v>
      </c>
      <c r="D15" s="4">
        <v>177</v>
      </c>
      <c r="E15" s="4">
        <v>107</v>
      </c>
      <c r="F15" s="5">
        <v>33341</v>
      </c>
      <c r="G15" s="5">
        <v>93717</v>
      </c>
      <c r="H15" s="6">
        <v>-60376</v>
      </c>
      <c r="I15" s="4" t="s">
        <v>101</v>
      </c>
      <c r="J15" s="5">
        <v>2245740</v>
      </c>
      <c r="K15" s="5">
        <v>33341</v>
      </c>
      <c r="L15" s="5">
        <v>9326190</v>
      </c>
      <c r="M15" s="5">
        <v>36337</v>
      </c>
      <c r="N15" s="7" t="s">
        <v>112</v>
      </c>
      <c r="O15" s="7" t="s">
        <v>200</v>
      </c>
      <c r="P15" s="11">
        <v>45295</v>
      </c>
      <c r="Q15" s="2" t="str">
        <f t="shared" si="0"/>
        <v>45295早班本地二区</v>
      </c>
      <c r="R15" s="2">
        <f t="shared" si="1"/>
        <v>9326190</v>
      </c>
      <c r="S15" s="2">
        <f t="shared" si="1"/>
        <v>36337</v>
      </c>
      <c r="T15" s="2" t="str">
        <f t="shared" si="2"/>
        <v>45295本地二区-早班</v>
      </c>
      <c r="U15" s="2">
        <f t="shared" si="3"/>
        <v>3.8962300000000001E-3</v>
      </c>
      <c r="V15" s="2" t="str">
        <f t="shared" si="4"/>
        <v>林好男</v>
      </c>
    </row>
    <row r="16" spans="1:26" ht="16.5" x14ac:dyDescent="0.4">
      <c r="A16" s="4" t="s">
        <v>92</v>
      </c>
      <c r="B16" s="70" t="s">
        <v>104</v>
      </c>
      <c r="C16" s="4" t="s">
        <v>158</v>
      </c>
      <c r="D16" s="4">
        <v>153</v>
      </c>
      <c r="E16" s="4">
        <v>103</v>
      </c>
      <c r="F16" s="5">
        <v>46263</v>
      </c>
      <c r="G16" s="5">
        <v>115970</v>
      </c>
      <c r="H16" s="6">
        <v>-69707</v>
      </c>
      <c r="I16" s="4" t="s">
        <v>101</v>
      </c>
      <c r="J16" s="5">
        <v>3570780</v>
      </c>
      <c r="K16" s="5">
        <v>46263</v>
      </c>
      <c r="L16" s="5">
        <v>9477947</v>
      </c>
      <c r="M16" s="5">
        <v>51166</v>
      </c>
      <c r="N16" s="7" t="s">
        <v>120</v>
      </c>
      <c r="O16" s="7" t="s">
        <v>201</v>
      </c>
      <c r="P16" s="11">
        <v>45295</v>
      </c>
      <c r="Q16" s="2" t="str">
        <f t="shared" si="0"/>
        <v>45295下午班本地一区</v>
      </c>
      <c r="R16" s="2">
        <f t="shared" si="1"/>
        <v>9477947</v>
      </c>
      <c r="S16" s="2">
        <f t="shared" si="1"/>
        <v>51166</v>
      </c>
      <c r="T16" s="2" t="str">
        <f t="shared" si="2"/>
        <v>45295本地一区-下午班</v>
      </c>
      <c r="U16" s="2">
        <f t="shared" si="3"/>
        <v>5.3984300000000001E-3</v>
      </c>
      <c r="V16" s="2" t="str">
        <f t="shared" si="4"/>
        <v>李晓晗</v>
      </c>
    </row>
    <row r="17" spans="1:22" ht="16.5" x14ac:dyDescent="0.4">
      <c r="A17" s="4" t="s">
        <v>92</v>
      </c>
      <c r="B17" s="70" t="s">
        <v>105</v>
      </c>
      <c r="C17" s="4" t="s">
        <v>111</v>
      </c>
      <c r="D17" s="4">
        <v>155</v>
      </c>
      <c r="E17" s="4">
        <v>102</v>
      </c>
      <c r="F17" s="5">
        <v>38908</v>
      </c>
      <c r="G17" s="5">
        <v>93717</v>
      </c>
      <c r="H17" s="6">
        <v>-54809</v>
      </c>
      <c r="I17" s="4" t="s">
        <v>101</v>
      </c>
      <c r="J17" s="5">
        <v>6728345</v>
      </c>
      <c r="K17" s="5">
        <v>38908</v>
      </c>
      <c r="L17" s="5">
        <v>9848677</v>
      </c>
      <c r="M17" s="5">
        <v>40443</v>
      </c>
      <c r="N17" s="7" t="s">
        <v>198</v>
      </c>
      <c r="O17" s="7" t="s">
        <v>202</v>
      </c>
      <c r="P17" s="11">
        <v>45295</v>
      </c>
      <c r="Q17" s="2" t="str">
        <f t="shared" si="0"/>
        <v>45295下午班本地二区</v>
      </c>
      <c r="R17" s="2">
        <f t="shared" si="1"/>
        <v>9848677</v>
      </c>
      <c r="S17" s="2">
        <f t="shared" si="1"/>
        <v>40443</v>
      </c>
      <c r="T17" s="2" t="str">
        <f t="shared" si="2"/>
        <v>45295本地二区-下午班</v>
      </c>
      <c r="U17" s="2">
        <f t="shared" si="3"/>
        <v>4.1064400000000003E-3</v>
      </c>
      <c r="V17" s="2" t="str">
        <f t="shared" si="4"/>
        <v>陈楠</v>
      </c>
    </row>
    <row r="18" spans="1:22" ht="16.5" x14ac:dyDescent="0.4">
      <c r="A18" s="4" t="s">
        <v>93</v>
      </c>
      <c r="B18" s="70" t="s">
        <v>104</v>
      </c>
      <c r="C18" s="4" t="s">
        <v>110</v>
      </c>
      <c r="D18" s="4">
        <v>143</v>
      </c>
      <c r="E18" s="4">
        <v>105</v>
      </c>
      <c r="F18" s="5">
        <v>46865</v>
      </c>
      <c r="G18" s="5">
        <v>115970</v>
      </c>
      <c r="H18" s="6">
        <v>-69105</v>
      </c>
      <c r="I18" s="4" t="s">
        <v>101</v>
      </c>
      <c r="J18" s="5">
        <v>4269169</v>
      </c>
      <c r="K18" s="5">
        <v>46865</v>
      </c>
      <c r="L18" s="5">
        <v>14631947</v>
      </c>
      <c r="M18" s="5">
        <v>51983</v>
      </c>
      <c r="N18" s="7" t="s">
        <v>157</v>
      </c>
      <c r="O18" s="7" t="s">
        <v>203</v>
      </c>
      <c r="P18" s="11">
        <v>45296</v>
      </c>
      <c r="Q18" s="2" t="str">
        <f t="shared" si="0"/>
        <v>45296早班本地一区</v>
      </c>
      <c r="R18" s="2">
        <f t="shared" ref="R18:S33" si="5">L18</f>
        <v>14631947</v>
      </c>
      <c r="S18" s="2">
        <f t="shared" si="5"/>
        <v>51983</v>
      </c>
      <c r="T18" s="2" t="str">
        <f t="shared" si="2"/>
        <v>45296本地一区-早班</v>
      </c>
      <c r="U18" s="2">
        <f t="shared" si="3"/>
        <v>3.5527100000000002E-3</v>
      </c>
      <c r="V18" s="2" t="str">
        <f t="shared" si="4"/>
        <v>赵勇</v>
      </c>
    </row>
    <row r="19" spans="1:22" ht="16.5" x14ac:dyDescent="0.4">
      <c r="A19" s="4" t="s">
        <v>93</v>
      </c>
      <c r="B19" s="70" t="s">
        <v>105</v>
      </c>
      <c r="C19" s="4" t="s">
        <v>122</v>
      </c>
      <c r="D19" s="4">
        <v>170</v>
      </c>
      <c r="E19" s="4">
        <v>103</v>
      </c>
      <c r="F19" s="5">
        <v>29972</v>
      </c>
      <c r="G19" s="5">
        <v>93717</v>
      </c>
      <c r="H19" s="6">
        <v>-63745</v>
      </c>
      <c r="I19" s="4" t="s">
        <v>101</v>
      </c>
      <c r="J19" s="5">
        <v>4301563</v>
      </c>
      <c r="K19" s="5">
        <v>29972</v>
      </c>
      <c r="L19" s="5">
        <v>10035498</v>
      </c>
      <c r="M19" s="5">
        <v>32262</v>
      </c>
      <c r="N19" s="7" t="s">
        <v>172</v>
      </c>
      <c r="O19" s="7" t="s">
        <v>204</v>
      </c>
      <c r="P19" s="11">
        <v>45296</v>
      </c>
      <c r="Q19" s="2" t="str">
        <f t="shared" si="0"/>
        <v>45296早班本地二区</v>
      </c>
      <c r="R19" s="2">
        <f t="shared" si="5"/>
        <v>10035498</v>
      </c>
      <c r="S19" s="2">
        <f t="shared" si="5"/>
        <v>32262</v>
      </c>
      <c r="T19" s="2" t="str">
        <f t="shared" si="2"/>
        <v>45296本地二区-早班</v>
      </c>
      <c r="U19" s="2">
        <f t="shared" si="3"/>
        <v>3.2147899999999999E-3</v>
      </c>
      <c r="V19" s="2" t="str">
        <f t="shared" si="4"/>
        <v>赵依然</v>
      </c>
    </row>
    <row r="20" spans="1:22" ht="16.5" x14ac:dyDescent="0.4">
      <c r="A20" s="4" t="s">
        <v>92</v>
      </c>
      <c r="B20" s="70" t="s">
        <v>104</v>
      </c>
      <c r="C20" s="4" t="s">
        <v>158</v>
      </c>
      <c r="D20" s="4">
        <v>159</v>
      </c>
      <c r="E20" s="4">
        <v>107</v>
      </c>
      <c r="F20" s="5">
        <v>46851</v>
      </c>
      <c r="G20" s="5">
        <v>115970</v>
      </c>
      <c r="H20" s="6">
        <v>-69119</v>
      </c>
      <c r="I20" s="4" t="s">
        <v>101</v>
      </c>
      <c r="J20" s="5">
        <v>3121139</v>
      </c>
      <c r="K20" s="5">
        <v>46851</v>
      </c>
      <c r="L20" s="5">
        <v>10072089</v>
      </c>
      <c r="M20" s="5">
        <v>52291</v>
      </c>
      <c r="N20" s="7" t="s">
        <v>171</v>
      </c>
      <c r="O20" s="7" t="s">
        <v>205</v>
      </c>
      <c r="P20" s="11">
        <v>45296</v>
      </c>
      <c r="Q20" s="2" t="str">
        <f t="shared" si="0"/>
        <v>45296下午班本地一区</v>
      </c>
      <c r="R20" s="2">
        <f t="shared" si="5"/>
        <v>10072089</v>
      </c>
      <c r="S20" s="2">
        <f t="shared" si="5"/>
        <v>52291</v>
      </c>
      <c r="T20" s="2" t="str">
        <f t="shared" si="2"/>
        <v>45296本地一区-下午班</v>
      </c>
      <c r="U20" s="2">
        <f t="shared" si="3"/>
        <v>5.1916699999999998E-3</v>
      </c>
      <c r="V20" s="2" t="str">
        <f t="shared" si="4"/>
        <v>李晓晗</v>
      </c>
    </row>
    <row r="21" spans="1:22" ht="16.5" x14ac:dyDescent="0.4">
      <c r="A21" s="4" t="s">
        <v>92</v>
      </c>
      <c r="B21" s="70" t="s">
        <v>105</v>
      </c>
      <c r="C21" s="4" t="s">
        <v>111</v>
      </c>
      <c r="D21" s="4">
        <v>163</v>
      </c>
      <c r="E21" s="4">
        <v>104</v>
      </c>
      <c r="F21" s="5">
        <v>38854</v>
      </c>
      <c r="G21" s="5">
        <v>93717</v>
      </c>
      <c r="H21" s="6">
        <v>-54863</v>
      </c>
      <c r="I21" s="4" t="s">
        <v>101</v>
      </c>
      <c r="J21" s="5">
        <v>4220693</v>
      </c>
      <c r="K21" s="5">
        <v>38854</v>
      </c>
      <c r="L21" s="5">
        <v>9652082</v>
      </c>
      <c r="M21" s="5">
        <v>41399</v>
      </c>
      <c r="N21" s="7" t="s">
        <v>167</v>
      </c>
      <c r="O21" s="7" t="s">
        <v>206</v>
      </c>
      <c r="P21" s="11">
        <v>45296</v>
      </c>
      <c r="Q21" s="2" t="str">
        <f t="shared" si="0"/>
        <v>45296下午班本地二区</v>
      </c>
      <c r="R21" s="2">
        <f t="shared" si="5"/>
        <v>9652082</v>
      </c>
      <c r="S21" s="2">
        <f t="shared" si="5"/>
        <v>41399</v>
      </c>
      <c r="T21" s="2" t="str">
        <f t="shared" si="2"/>
        <v>45296本地二区-下午班</v>
      </c>
      <c r="U21" s="2">
        <f t="shared" si="3"/>
        <v>4.2891300000000004E-3</v>
      </c>
      <c r="V21" s="2" t="str">
        <f t="shared" si="4"/>
        <v>陈楠</v>
      </c>
    </row>
    <row r="22" spans="1:22" ht="16.5" x14ac:dyDescent="0.4">
      <c r="A22" s="4" t="s">
        <v>93</v>
      </c>
      <c r="B22" s="70" t="s">
        <v>104</v>
      </c>
      <c r="C22" s="4" t="s">
        <v>122</v>
      </c>
      <c r="D22" s="4">
        <v>150</v>
      </c>
      <c r="E22" s="4">
        <v>109</v>
      </c>
      <c r="F22" s="5">
        <v>41874</v>
      </c>
      <c r="G22" s="5">
        <v>115970</v>
      </c>
      <c r="H22" s="6">
        <v>-74096</v>
      </c>
      <c r="I22" s="4" t="s">
        <v>101</v>
      </c>
      <c r="J22" s="5">
        <v>4862049</v>
      </c>
      <c r="K22" s="5">
        <v>41874</v>
      </c>
      <c r="L22" s="5">
        <v>15325077</v>
      </c>
      <c r="M22" s="5">
        <v>46733</v>
      </c>
      <c r="N22" s="7" t="s">
        <v>143</v>
      </c>
      <c r="O22" s="7" t="s">
        <v>207</v>
      </c>
      <c r="P22" s="11">
        <v>45297</v>
      </c>
      <c r="Q22" s="2" t="str">
        <f t="shared" si="0"/>
        <v>45297早班本地一区</v>
      </c>
      <c r="R22" s="2">
        <f t="shared" si="5"/>
        <v>15325077</v>
      </c>
      <c r="S22" s="2">
        <f t="shared" si="5"/>
        <v>46733</v>
      </c>
      <c r="T22" s="2" t="str">
        <f t="shared" si="2"/>
        <v>45297本地一区-早班</v>
      </c>
      <c r="U22" s="2">
        <f t="shared" si="3"/>
        <v>3.04945E-3</v>
      </c>
      <c r="V22" s="2" t="str">
        <f t="shared" si="4"/>
        <v>赵依然</v>
      </c>
    </row>
    <row r="23" spans="1:22" ht="16.5" x14ac:dyDescent="0.4">
      <c r="A23" s="4" t="s">
        <v>93</v>
      </c>
      <c r="B23" s="70" t="s">
        <v>105</v>
      </c>
      <c r="C23" s="4" t="s">
        <v>133</v>
      </c>
      <c r="D23" s="4">
        <v>152</v>
      </c>
      <c r="E23" s="4">
        <v>104</v>
      </c>
      <c r="F23" s="5">
        <v>28075</v>
      </c>
      <c r="G23" s="5">
        <v>93717</v>
      </c>
      <c r="H23" s="6">
        <v>-65642</v>
      </c>
      <c r="I23" s="4" t="s">
        <v>101</v>
      </c>
      <c r="J23" s="5">
        <v>1109879</v>
      </c>
      <c r="K23" s="5">
        <v>28075</v>
      </c>
      <c r="L23" s="5">
        <v>7852241</v>
      </c>
      <c r="M23" s="5">
        <v>32023</v>
      </c>
      <c r="N23" s="7" t="s">
        <v>125</v>
      </c>
      <c r="O23" s="7" t="s">
        <v>208</v>
      </c>
      <c r="P23" s="11">
        <v>45297</v>
      </c>
      <c r="Q23" s="2" t="str">
        <f t="shared" si="0"/>
        <v>45297早班本地二区</v>
      </c>
      <c r="R23" s="2">
        <f t="shared" si="5"/>
        <v>7852241</v>
      </c>
      <c r="S23" s="2">
        <f t="shared" si="5"/>
        <v>32023</v>
      </c>
      <c r="T23" s="2" t="str">
        <f t="shared" si="2"/>
        <v>45297本地二区-早班</v>
      </c>
      <c r="U23" s="2">
        <f t="shared" si="3"/>
        <v>4.0781999999999997E-3</v>
      </c>
      <c r="V23" s="2" t="str">
        <f t="shared" si="4"/>
        <v>林好男</v>
      </c>
    </row>
    <row r="24" spans="1:22" ht="16.5" x14ac:dyDescent="0.4">
      <c r="A24" s="4" t="s">
        <v>92</v>
      </c>
      <c r="B24" s="70" t="s">
        <v>104</v>
      </c>
      <c r="C24" s="4" t="s">
        <v>111</v>
      </c>
      <c r="D24" s="4">
        <v>151</v>
      </c>
      <c r="E24" s="4">
        <v>103</v>
      </c>
      <c r="F24" s="5">
        <v>53813</v>
      </c>
      <c r="G24" s="5">
        <v>115970</v>
      </c>
      <c r="H24" s="6">
        <v>-62157</v>
      </c>
      <c r="I24" s="4" t="s">
        <v>101</v>
      </c>
      <c r="J24" s="5">
        <v>7033295</v>
      </c>
      <c r="K24" s="5">
        <v>53813</v>
      </c>
      <c r="L24" s="5">
        <v>13930502</v>
      </c>
      <c r="M24" s="5">
        <v>57943</v>
      </c>
      <c r="N24" s="7" t="s">
        <v>169</v>
      </c>
      <c r="O24" s="7" t="s">
        <v>209</v>
      </c>
      <c r="P24" s="11">
        <v>45297</v>
      </c>
      <c r="Q24" s="2" t="str">
        <f t="shared" si="0"/>
        <v>45297下午班本地一区</v>
      </c>
      <c r="R24" s="2">
        <f t="shared" si="5"/>
        <v>13930502</v>
      </c>
      <c r="S24" s="2">
        <f t="shared" si="5"/>
        <v>57943</v>
      </c>
      <c r="T24" s="2" t="str">
        <f t="shared" si="2"/>
        <v>45297本地一区-下午班</v>
      </c>
      <c r="U24" s="2">
        <f t="shared" si="3"/>
        <v>4.1594300000000004E-3</v>
      </c>
      <c r="V24" s="2" t="str">
        <f t="shared" si="4"/>
        <v>陈楠</v>
      </c>
    </row>
    <row r="25" spans="1:22" ht="16.5" x14ac:dyDescent="0.4">
      <c r="A25" s="4" t="s">
        <v>92</v>
      </c>
      <c r="B25" s="70" t="s">
        <v>105</v>
      </c>
      <c r="C25" s="4" t="s">
        <v>158</v>
      </c>
      <c r="D25" s="4">
        <v>161</v>
      </c>
      <c r="E25" s="4">
        <v>102</v>
      </c>
      <c r="F25" s="5">
        <v>44053</v>
      </c>
      <c r="G25" s="5">
        <v>93717</v>
      </c>
      <c r="H25" s="6">
        <v>-49664</v>
      </c>
      <c r="I25" s="4" t="s">
        <v>101</v>
      </c>
      <c r="J25" s="5">
        <v>3350648</v>
      </c>
      <c r="K25" s="5">
        <v>44053</v>
      </c>
      <c r="L25" s="5">
        <v>8128073</v>
      </c>
      <c r="M25" s="5">
        <v>49043</v>
      </c>
      <c r="N25" s="7" t="s">
        <v>130</v>
      </c>
      <c r="O25" s="7" t="s">
        <v>210</v>
      </c>
      <c r="P25" s="11">
        <v>45297</v>
      </c>
      <c r="Q25" s="2" t="str">
        <f t="shared" si="0"/>
        <v>45297下午班本地二区</v>
      </c>
      <c r="R25" s="2">
        <f t="shared" si="5"/>
        <v>8128073</v>
      </c>
      <c r="S25" s="2">
        <f t="shared" si="5"/>
        <v>49043</v>
      </c>
      <c r="T25" s="2" t="str">
        <f t="shared" si="2"/>
        <v>45297本地二区-下午班</v>
      </c>
      <c r="U25" s="2">
        <f t="shared" si="3"/>
        <v>6.0337799999999999E-3</v>
      </c>
      <c r="V25" s="2" t="str">
        <f t="shared" si="4"/>
        <v>李晓晗</v>
      </c>
    </row>
    <row r="26" spans="1:22" ht="16.5" x14ac:dyDescent="0.4">
      <c r="A26" s="4" t="s">
        <v>93</v>
      </c>
      <c r="B26" s="70" t="s">
        <v>178</v>
      </c>
      <c r="C26" s="4" t="s">
        <v>133</v>
      </c>
      <c r="D26" s="4">
        <v>201</v>
      </c>
      <c r="E26" s="4">
        <v>142</v>
      </c>
      <c r="F26" s="5">
        <v>56081</v>
      </c>
      <c r="G26" s="5">
        <v>209686</v>
      </c>
      <c r="H26" s="6">
        <v>-153605</v>
      </c>
      <c r="I26" s="4" t="s">
        <v>101</v>
      </c>
      <c r="J26" s="5">
        <v>3648922</v>
      </c>
      <c r="K26" s="5">
        <v>56081</v>
      </c>
      <c r="L26" s="5">
        <v>15242790</v>
      </c>
      <c r="M26" s="5">
        <v>63286</v>
      </c>
      <c r="N26" s="7" t="s">
        <v>115</v>
      </c>
      <c r="O26" s="7" t="s">
        <v>211</v>
      </c>
      <c r="P26" s="11">
        <v>45298</v>
      </c>
      <c r="Q26" s="2" t="str">
        <f t="shared" si="0"/>
        <v>45298早班本地所有</v>
      </c>
      <c r="R26" s="2">
        <f t="shared" si="5"/>
        <v>15242790</v>
      </c>
      <c r="S26" s="2">
        <f t="shared" si="5"/>
        <v>63286</v>
      </c>
      <c r="T26" s="2" t="str">
        <f t="shared" si="2"/>
        <v>45298本地所有-早班</v>
      </c>
      <c r="U26" s="2">
        <f t="shared" si="3"/>
        <v>4.1518600000000003E-3</v>
      </c>
      <c r="V26" s="2" t="str">
        <f t="shared" si="4"/>
        <v>林好男</v>
      </c>
    </row>
    <row r="27" spans="1:22" ht="16.5" x14ac:dyDescent="0.4">
      <c r="A27" s="4" t="s">
        <v>92</v>
      </c>
      <c r="B27" s="70" t="s">
        <v>104</v>
      </c>
      <c r="C27" s="4" t="s">
        <v>111</v>
      </c>
      <c r="D27" s="4">
        <v>150</v>
      </c>
      <c r="E27" s="4">
        <v>107</v>
      </c>
      <c r="F27" s="5">
        <v>48783</v>
      </c>
      <c r="G27" s="5">
        <v>115970</v>
      </c>
      <c r="H27" s="6">
        <v>-67187</v>
      </c>
      <c r="I27" s="4" t="s">
        <v>101</v>
      </c>
      <c r="J27" s="5">
        <v>4717544</v>
      </c>
      <c r="K27" s="5">
        <v>48783</v>
      </c>
      <c r="L27" s="5">
        <v>13779337</v>
      </c>
      <c r="M27" s="5">
        <v>53779</v>
      </c>
      <c r="N27" s="7" t="s">
        <v>162</v>
      </c>
      <c r="O27" s="7" t="s">
        <v>212</v>
      </c>
      <c r="P27" s="11">
        <v>45298</v>
      </c>
      <c r="Q27" s="2" t="str">
        <f t="shared" si="0"/>
        <v>45298下午班本地一区</v>
      </c>
      <c r="R27" s="2">
        <f t="shared" si="5"/>
        <v>13779337</v>
      </c>
      <c r="S27" s="2">
        <f t="shared" si="5"/>
        <v>53779</v>
      </c>
      <c r="T27" s="2" t="str">
        <f t="shared" si="2"/>
        <v>45298本地一区-下午班</v>
      </c>
      <c r="U27" s="2">
        <f t="shared" si="3"/>
        <v>3.9028700000000001E-3</v>
      </c>
      <c r="V27" s="2" t="str">
        <f t="shared" si="4"/>
        <v>陈楠</v>
      </c>
    </row>
    <row r="28" spans="1:22" ht="16.5" x14ac:dyDescent="0.4">
      <c r="A28" s="4" t="s">
        <v>92</v>
      </c>
      <c r="B28" s="70" t="s">
        <v>105</v>
      </c>
      <c r="C28" s="4" t="s">
        <v>122</v>
      </c>
      <c r="D28" s="4">
        <v>151</v>
      </c>
      <c r="E28" s="4">
        <v>101</v>
      </c>
      <c r="F28" s="5">
        <v>33932</v>
      </c>
      <c r="G28" s="5">
        <v>93717</v>
      </c>
      <c r="H28" s="6">
        <v>-59785</v>
      </c>
      <c r="I28" s="4" t="s">
        <v>101</v>
      </c>
      <c r="J28" s="5">
        <v>2596428</v>
      </c>
      <c r="K28" s="5">
        <v>33932</v>
      </c>
      <c r="L28" s="5">
        <v>7774007</v>
      </c>
      <c r="M28" s="5">
        <v>38431</v>
      </c>
      <c r="N28" s="7" t="s">
        <v>130</v>
      </c>
      <c r="O28" s="7" t="s">
        <v>213</v>
      </c>
      <c r="P28" s="11">
        <v>45298</v>
      </c>
      <c r="Q28" s="2" t="str">
        <f t="shared" si="0"/>
        <v>45298下午班本地二区</v>
      </c>
      <c r="R28" s="2">
        <f t="shared" si="5"/>
        <v>7774007</v>
      </c>
      <c r="S28" s="2">
        <f t="shared" si="5"/>
        <v>38431</v>
      </c>
      <c r="T28" s="2" t="str">
        <f t="shared" si="2"/>
        <v>45298本地二区-下午班</v>
      </c>
      <c r="U28" s="2">
        <f t="shared" si="3"/>
        <v>4.9435299999999998E-3</v>
      </c>
      <c r="V28" s="2" t="str">
        <f t="shared" si="4"/>
        <v>赵依然</v>
      </c>
    </row>
    <row r="29" spans="1:22" ht="16.5" x14ac:dyDescent="0.4">
      <c r="A29" s="4" t="s">
        <v>93</v>
      </c>
      <c r="B29" s="70" t="s">
        <v>178</v>
      </c>
      <c r="C29" s="4" t="s">
        <v>110</v>
      </c>
      <c r="D29" s="4">
        <v>178</v>
      </c>
      <c r="E29" s="4">
        <v>132</v>
      </c>
      <c r="F29" s="5">
        <v>53271</v>
      </c>
      <c r="G29" s="5">
        <v>209686</v>
      </c>
      <c r="H29" s="6">
        <v>-156415</v>
      </c>
      <c r="I29" s="4" t="s">
        <v>101</v>
      </c>
      <c r="J29" s="5">
        <v>3304064</v>
      </c>
      <c r="K29" s="5">
        <v>53271</v>
      </c>
      <c r="L29" s="5">
        <v>13407075</v>
      </c>
      <c r="M29" s="5">
        <v>59276</v>
      </c>
      <c r="N29" s="7" t="s">
        <v>126</v>
      </c>
      <c r="O29" s="7" t="s">
        <v>263</v>
      </c>
      <c r="P29" s="11">
        <v>45299</v>
      </c>
      <c r="Q29" s="2" t="str">
        <f t="shared" si="0"/>
        <v>45299早班本地所有</v>
      </c>
      <c r="R29" s="2">
        <f t="shared" si="5"/>
        <v>13407075</v>
      </c>
      <c r="S29" s="2">
        <f t="shared" si="5"/>
        <v>59276</v>
      </c>
      <c r="T29" s="2" t="str">
        <f t="shared" si="2"/>
        <v>45299本地所有-早班</v>
      </c>
      <c r="U29" s="2">
        <f t="shared" si="3"/>
        <v>4.4212499999999998E-3</v>
      </c>
      <c r="V29" s="2" t="str">
        <f t="shared" si="4"/>
        <v>赵勇</v>
      </c>
    </row>
    <row r="30" spans="1:22" ht="16.5" x14ac:dyDescent="0.4">
      <c r="A30" s="4" t="s">
        <v>92</v>
      </c>
      <c r="B30" s="70" t="s">
        <v>104</v>
      </c>
      <c r="C30" s="4" t="s">
        <v>122</v>
      </c>
      <c r="D30" s="4">
        <v>164</v>
      </c>
      <c r="E30" s="4">
        <v>109</v>
      </c>
      <c r="F30" s="5">
        <v>54703</v>
      </c>
      <c r="G30" s="5">
        <v>115970</v>
      </c>
      <c r="H30" s="6">
        <v>-61267</v>
      </c>
      <c r="I30" s="4" t="s">
        <v>101</v>
      </c>
      <c r="J30" s="5">
        <v>6261345</v>
      </c>
      <c r="K30" s="5">
        <v>54703</v>
      </c>
      <c r="L30" s="5">
        <v>14542731</v>
      </c>
      <c r="M30" s="5">
        <v>61835</v>
      </c>
      <c r="N30" s="7" t="s">
        <v>124</v>
      </c>
      <c r="O30" s="7" t="s">
        <v>264</v>
      </c>
      <c r="P30" s="11">
        <v>45299</v>
      </c>
      <c r="Q30" s="2" t="str">
        <f t="shared" si="0"/>
        <v>45299下午班本地一区</v>
      </c>
      <c r="R30" s="2">
        <f t="shared" si="5"/>
        <v>14542731</v>
      </c>
      <c r="S30" s="2">
        <f t="shared" si="5"/>
        <v>61835</v>
      </c>
      <c r="T30" s="2" t="str">
        <f t="shared" si="2"/>
        <v>45299本地一区-下午班</v>
      </c>
      <c r="U30" s="2">
        <f t="shared" si="3"/>
        <v>4.25195E-3</v>
      </c>
      <c r="V30" s="2" t="str">
        <f t="shared" si="4"/>
        <v>赵依然</v>
      </c>
    </row>
    <row r="31" spans="1:22" ht="16.5" x14ac:dyDescent="0.4">
      <c r="A31" s="4" t="s">
        <v>92</v>
      </c>
      <c r="B31" s="70" t="s">
        <v>105</v>
      </c>
      <c r="C31" s="4" t="s">
        <v>111</v>
      </c>
      <c r="D31" s="4">
        <v>150</v>
      </c>
      <c r="E31" s="4">
        <v>108</v>
      </c>
      <c r="F31" s="5">
        <v>42124</v>
      </c>
      <c r="G31" s="5">
        <v>93717</v>
      </c>
      <c r="H31" s="6">
        <v>-51593</v>
      </c>
      <c r="I31" s="4" t="s">
        <v>101</v>
      </c>
      <c r="J31" s="5">
        <v>7144438</v>
      </c>
      <c r="K31" s="5">
        <v>42124</v>
      </c>
      <c r="L31" s="5">
        <v>11988251</v>
      </c>
      <c r="M31" s="5">
        <v>45030</v>
      </c>
      <c r="N31" s="7" t="s">
        <v>165</v>
      </c>
      <c r="O31" s="7" t="s">
        <v>265</v>
      </c>
      <c r="P31" s="11">
        <v>45299</v>
      </c>
      <c r="Q31" s="2" t="str">
        <f t="shared" si="0"/>
        <v>45299下午班本地二区</v>
      </c>
      <c r="R31" s="2">
        <f t="shared" si="5"/>
        <v>11988251</v>
      </c>
      <c r="S31" s="2">
        <f t="shared" si="5"/>
        <v>45030</v>
      </c>
      <c r="T31" s="2" t="str">
        <f t="shared" si="2"/>
        <v>45299本地二区-下午班</v>
      </c>
      <c r="U31" s="2">
        <f t="shared" si="3"/>
        <v>3.75618E-3</v>
      </c>
      <c r="V31" s="2" t="str">
        <f t="shared" si="4"/>
        <v>陈楠</v>
      </c>
    </row>
    <row r="32" spans="1:22" ht="16.5" x14ac:dyDescent="0.4">
      <c r="A32" s="4" t="s">
        <v>93</v>
      </c>
      <c r="B32" s="70" t="s">
        <v>104</v>
      </c>
      <c r="C32" s="4" t="s">
        <v>110</v>
      </c>
      <c r="D32" s="4">
        <v>139</v>
      </c>
      <c r="E32" s="4">
        <v>103</v>
      </c>
      <c r="F32" s="5">
        <v>42240</v>
      </c>
      <c r="G32" s="5">
        <v>115970</v>
      </c>
      <c r="H32" s="6">
        <v>-73730</v>
      </c>
      <c r="I32" s="4" t="s">
        <v>101</v>
      </c>
      <c r="J32" s="5">
        <v>3925222</v>
      </c>
      <c r="K32" s="5">
        <v>42240</v>
      </c>
      <c r="L32" s="5">
        <v>11690885</v>
      </c>
      <c r="M32" s="5">
        <v>46957</v>
      </c>
      <c r="N32" s="7" t="s">
        <v>114</v>
      </c>
      <c r="O32" s="7" t="s">
        <v>266</v>
      </c>
      <c r="P32" s="11">
        <v>45300</v>
      </c>
      <c r="Q32" s="2" t="str">
        <f t="shared" si="0"/>
        <v>45300早班本地一区</v>
      </c>
      <c r="R32" s="2">
        <f t="shared" si="5"/>
        <v>11690885</v>
      </c>
      <c r="S32" s="2">
        <f t="shared" si="5"/>
        <v>46957</v>
      </c>
      <c r="T32" s="2" t="str">
        <f t="shared" si="2"/>
        <v>45300本地一区-早班</v>
      </c>
      <c r="U32" s="2">
        <f t="shared" si="3"/>
        <v>4.0165499999999998E-3</v>
      </c>
      <c r="V32" s="2" t="str">
        <f t="shared" si="4"/>
        <v>赵勇</v>
      </c>
    </row>
    <row r="33" spans="1:22" ht="16.5" x14ac:dyDescent="0.4">
      <c r="A33" s="4" t="s">
        <v>93</v>
      </c>
      <c r="B33" s="70" t="s">
        <v>105</v>
      </c>
      <c r="C33" s="4" t="s">
        <v>158</v>
      </c>
      <c r="D33" s="4">
        <v>162</v>
      </c>
      <c r="E33" s="4">
        <v>113</v>
      </c>
      <c r="F33" s="5">
        <v>31481</v>
      </c>
      <c r="G33" s="5">
        <v>93717</v>
      </c>
      <c r="H33" s="6">
        <v>-62236</v>
      </c>
      <c r="I33" s="4" t="s">
        <v>101</v>
      </c>
      <c r="J33" s="5">
        <v>1838656</v>
      </c>
      <c r="K33" s="5">
        <v>31481</v>
      </c>
      <c r="L33" s="5">
        <v>7664927</v>
      </c>
      <c r="M33" s="5">
        <v>34611</v>
      </c>
      <c r="N33" s="7" t="s">
        <v>132</v>
      </c>
      <c r="O33" s="7" t="s">
        <v>267</v>
      </c>
      <c r="P33" s="11">
        <v>45300</v>
      </c>
      <c r="Q33" s="2" t="str">
        <f t="shared" si="0"/>
        <v>45300早班本地二区</v>
      </c>
      <c r="R33" s="2">
        <f t="shared" si="5"/>
        <v>7664927</v>
      </c>
      <c r="S33" s="2">
        <f t="shared" si="5"/>
        <v>34611</v>
      </c>
      <c r="T33" s="2" t="str">
        <f t="shared" si="2"/>
        <v>45300本地二区-早班</v>
      </c>
      <c r="U33" s="2">
        <f t="shared" si="3"/>
        <v>4.5155000000000004E-3</v>
      </c>
      <c r="V33" s="2" t="str">
        <f t="shared" si="4"/>
        <v>李晓晗</v>
      </c>
    </row>
    <row r="34" spans="1:22" ht="16.5" x14ac:dyDescent="0.4">
      <c r="A34" s="4" t="s">
        <v>92</v>
      </c>
      <c r="B34" s="70" t="s">
        <v>104</v>
      </c>
      <c r="C34" s="4" t="s">
        <v>133</v>
      </c>
      <c r="D34" s="4">
        <v>171</v>
      </c>
      <c r="E34" s="4">
        <v>124</v>
      </c>
      <c r="F34" s="5">
        <v>52242</v>
      </c>
      <c r="G34" s="5">
        <v>115970</v>
      </c>
      <c r="H34" s="6">
        <v>-63728</v>
      </c>
      <c r="I34" s="4" t="s">
        <v>101</v>
      </c>
      <c r="J34" s="5">
        <v>3010227</v>
      </c>
      <c r="K34" s="5">
        <v>52242</v>
      </c>
      <c r="L34" s="5">
        <v>11843802</v>
      </c>
      <c r="M34" s="5">
        <v>64112</v>
      </c>
      <c r="N34" s="7" t="s">
        <v>268</v>
      </c>
      <c r="O34" s="7" t="s">
        <v>269</v>
      </c>
      <c r="P34" s="11">
        <v>45300</v>
      </c>
      <c r="Q34" s="2" t="str">
        <f t="shared" si="0"/>
        <v>45300下午班本地一区</v>
      </c>
      <c r="R34" s="2">
        <f t="shared" ref="R34:S49" si="6">L34</f>
        <v>11843802</v>
      </c>
      <c r="S34" s="2">
        <f t="shared" si="6"/>
        <v>64112</v>
      </c>
      <c r="T34" s="2" t="str">
        <f t="shared" si="2"/>
        <v>45300本地一区-下午班</v>
      </c>
      <c r="U34" s="2">
        <f t="shared" si="3"/>
        <v>5.4131300000000004E-3</v>
      </c>
      <c r="V34" s="2" t="str">
        <f t="shared" si="4"/>
        <v>林好男</v>
      </c>
    </row>
    <row r="35" spans="1:22" ht="16.5" x14ac:dyDescent="0.4">
      <c r="A35" s="4" t="s">
        <v>92</v>
      </c>
      <c r="B35" s="70" t="s">
        <v>105</v>
      </c>
      <c r="C35" s="4" t="s">
        <v>111</v>
      </c>
      <c r="D35" s="4">
        <v>151</v>
      </c>
      <c r="E35" s="4">
        <v>111</v>
      </c>
      <c r="F35" s="5">
        <v>43990</v>
      </c>
      <c r="G35" s="5">
        <v>93717</v>
      </c>
      <c r="H35" s="6">
        <v>-49727</v>
      </c>
      <c r="I35" s="4" t="s">
        <v>101</v>
      </c>
      <c r="J35" s="5">
        <v>6187008</v>
      </c>
      <c r="K35" s="5">
        <v>43990</v>
      </c>
      <c r="L35" s="5">
        <v>13333537</v>
      </c>
      <c r="M35" s="5">
        <v>47496</v>
      </c>
      <c r="N35" s="7" t="s">
        <v>161</v>
      </c>
      <c r="O35" s="7" t="s">
        <v>270</v>
      </c>
      <c r="P35" s="11">
        <v>45300</v>
      </c>
      <c r="Q35" s="2" t="str">
        <f t="shared" si="0"/>
        <v>45300下午班本地二区</v>
      </c>
      <c r="R35" s="2">
        <f t="shared" si="6"/>
        <v>13333537</v>
      </c>
      <c r="S35" s="2">
        <f t="shared" si="6"/>
        <v>47496</v>
      </c>
      <c r="T35" s="2" t="str">
        <f t="shared" si="2"/>
        <v>45300本地二区-下午班</v>
      </c>
      <c r="U35" s="2">
        <f t="shared" si="3"/>
        <v>3.56215E-3</v>
      </c>
      <c r="V35" s="2" t="str">
        <f t="shared" si="4"/>
        <v>陈楠</v>
      </c>
    </row>
    <row r="36" spans="1:22" ht="16.5" x14ac:dyDescent="0.4">
      <c r="A36" s="4" t="s">
        <v>93</v>
      </c>
      <c r="B36" s="70" t="s">
        <v>104</v>
      </c>
      <c r="C36" s="4" t="s">
        <v>110</v>
      </c>
      <c r="D36" s="4">
        <v>147</v>
      </c>
      <c r="E36" s="4">
        <v>111</v>
      </c>
      <c r="F36" s="5">
        <v>44893</v>
      </c>
      <c r="G36" s="5">
        <v>115970</v>
      </c>
      <c r="H36" s="6">
        <v>-71077</v>
      </c>
      <c r="I36" s="4" t="s">
        <v>101</v>
      </c>
      <c r="J36" s="5">
        <v>4467514</v>
      </c>
      <c r="K36" s="5">
        <v>44893</v>
      </c>
      <c r="L36" s="5">
        <v>13638323</v>
      </c>
      <c r="M36" s="5">
        <v>49818</v>
      </c>
      <c r="N36" s="7" t="s">
        <v>123</v>
      </c>
      <c r="O36" s="7" t="s">
        <v>271</v>
      </c>
      <c r="P36" s="11">
        <v>45301</v>
      </c>
      <c r="Q36" s="2" t="str">
        <f t="shared" si="0"/>
        <v>45301早班本地一区</v>
      </c>
      <c r="R36" s="2">
        <f t="shared" si="6"/>
        <v>13638323</v>
      </c>
      <c r="S36" s="2">
        <f t="shared" si="6"/>
        <v>49818</v>
      </c>
      <c r="T36" s="2" t="str">
        <f t="shared" si="2"/>
        <v>45301本地一区-早班</v>
      </c>
      <c r="U36" s="2">
        <f t="shared" si="3"/>
        <v>3.6527999999999999E-3</v>
      </c>
      <c r="V36" s="2" t="str">
        <f t="shared" si="4"/>
        <v>赵勇</v>
      </c>
    </row>
    <row r="37" spans="1:22" ht="16.5" x14ac:dyDescent="0.4">
      <c r="A37" s="4" t="s">
        <v>93</v>
      </c>
      <c r="B37" s="70" t="s">
        <v>105</v>
      </c>
      <c r="C37" s="4" t="s">
        <v>122</v>
      </c>
      <c r="D37" s="4">
        <v>170</v>
      </c>
      <c r="E37" s="4">
        <v>118</v>
      </c>
      <c r="F37" s="5">
        <v>35535</v>
      </c>
      <c r="G37" s="5">
        <v>93717</v>
      </c>
      <c r="H37" s="6">
        <v>-58182</v>
      </c>
      <c r="I37" s="4" t="s">
        <v>101</v>
      </c>
      <c r="J37" s="5">
        <v>4134038</v>
      </c>
      <c r="K37" s="5">
        <v>35535</v>
      </c>
      <c r="L37" s="5">
        <v>12640259</v>
      </c>
      <c r="M37" s="5">
        <v>39177</v>
      </c>
      <c r="N37" s="7" t="s">
        <v>143</v>
      </c>
      <c r="O37" s="7" t="s">
        <v>272</v>
      </c>
      <c r="P37" s="11">
        <v>45301</v>
      </c>
      <c r="Q37" s="2" t="str">
        <f t="shared" si="0"/>
        <v>45301早班本地二区</v>
      </c>
      <c r="R37" s="2">
        <f t="shared" si="6"/>
        <v>12640259</v>
      </c>
      <c r="S37" s="2">
        <f t="shared" si="6"/>
        <v>39177</v>
      </c>
      <c r="T37" s="2" t="str">
        <f t="shared" si="2"/>
        <v>45301本地二区-早班</v>
      </c>
      <c r="U37" s="2">
        <f t="shared" si="3"/>
        <v>3.0993800000000001E-3</v>
      </c>
      <c r="V37" s="2" t="str">
        <f t="shared" si="4"/>
        <v>赵依然</v>
      </c>
    </row>
    <row r="38" spans="1:22" ht="16.5" x14ac:dyDescent="0.4">
      <c r="A38" s="4" t="s">
        <v>92</v>
      </c>
      <c r="B38" s="70" t="s">
        <v>104</v>
      </c>
      <c r="C38" s="4" t="s">
        <v>133</v>
      </c>
      <c r="D38" s="4">
        <v>213</v>
      </c>
      <c r="E38" s="4">
        <v>129</v>
      </c>
      <c r="F38" s="5">
        <v>60800</v>
      </c>
      <c r="G38" s="5">
        <v>115970</v>
      </c>
      <c r="H38" s="6">
        <v>-55170</v>
      </c>
      <c r="I38" s="4" t="s">
        <v>101</v>
      </c>
      <c r="J38" s="5">
        <v>3364431</v>
      </c>
      <c r="K38" s="5">
        <v>60800</v>
      </c>
      <c r="L38" s="5">
        <v>14190581</v>
      </c>
      <c r="M38" s="5">
        <v>76232</v>
      </c>
      <c r="N38" s="7" t="s">
        <v>273</v>
      </c>
      <c r="O38" s="7" t="s">
        <v>274</v>
      </c>
      <c r="P38" s="11">
        <v>45301</v>
      </c>
      <c r="Q38" s="2" t="str">
        <f t="shared" si="0"/>
        <v>45301下午班本地一区</v>
      </c>
      <c r="R38" s="2">
        <f t="shared" si="6"/>
        <v>14190581</v>
      </c>
      <c r="S38" s="2">
        <f t="shared" si="6"/>
        <v>76232</v>
      </c>
      <c r="T38" s="2" t="str">
        <f t="shared" si="2"/>
        <v>45301本地一区-下午班</v>
      </c>
      <c r="U38" s="2">
        <f t="shared" si="3"/>
        <v>5.37201E-3</v>
      </c>
      <c r="V38" s="2" t="str">
        <f t="shared" si="4"/>
        <v>林好男</v>
      </c>
    </row>
    <row r="39" spans="1:22" ht="16.5" x14ac:dyDescent="0.4">
      <c r="A39" s="4" t="s">
        <v>92</v>
      </c>
      <c r="B39" s="70" t="s">
        <v>105</v>
      </c>
      <c r="C39" s="4" t="s">
        <v>158</v>
      </c>
      <c r="D39" s="4">
        <v>169</v>
      </c>
      <c r="E39" s="4">
        <v>102</v>
      </c>
      <c r="F39" s="5">
        <v>42344</v>
      </c>
      <c r="G39" s="5">
        <v>93717</v>
      </c>
      <c r="H39" s="6">
        <v>-51373</v>
      </c>
      <c r="I39" s="4" t="s">
        <v>101</v>
      </c>
      <c r="J39" s="5">
        <v>2648616</v>
      </c>
      <c r="K39" s="5">
        <v>42344</v>
      </c>
      <c r="L39" s="5">
        <v>7837907</v>
      </c>
      <c r="M39" s="5">
        <v>47876</v>
      </c>
      <c r="N39" s="7" t="s">
        <v>135</v>
      </c>
      <c r="O39" s="7" t="s">
        <v>275</v>
      </c>
      <c r="P39" s="11">
        <v>45301</v>
      </c>
      <c r="Q39" s="2" t="str">
        <f t="shared" si="0"/>
        <v>45301下午班本地二区</v>
      </c>
      <c r="R39" s="2">
        <f t="shared" si="6"/>
        <v>7837907</v>
      </c>
      <c r="S39" s="2">
        <f t="shared" si="6"/>
        <v>47876</v>
      </c>
      <c r="T39" s="2" t="str">
        <f t="shared" si="2"/>
        <v>45301本地二区-下午班</v>
      </c>
      <c r="U39" s="2">
        <f t="shared" si="3"/>
        <v>6.1082599999999999E-3</v>
      </c>
      <c r="V39" s="2" t="str">
        <f t="shared" si="4"/>
        <v>李晓晗</v>
      </c>
    </row>
    <row r="40" spans="1:22" ht="16.5" x14ac:dyDescent="0.4">
      <c r="A40" s="4" t="s">
        <v>93</v>
      </c>
      <c r="B40" s="70" t="s">
        <v>104</v>
      </c>
      <c r="C40" s="4" t="s">
        <v>122</v>
      </c>
      <c r="D40" s="4">
        <v>161</v>
      </c>
      <c r="E40" s="4">
        <v>117</v>
      </c>
      <c r="F40" s="5">
        <v>43095</v>
      </c>
      <c r="G40" s="5">
        <v>115970</v>
      </c>
      <c r="H40" s="6">
        <v>-72875</v>
      </c>
      <c r="I40" s="4" t="s">
        <v>101</v>
      </c>
      <c r="J40" s="5">
        <v>4028954</v>
      </c>
      <c r="K40" s="5">
        <v>43095</v>
      </c>
      <c r="L40" s="5">
        <v>12968332</v>
      </c>
      <c r="M40" s="5">
        <v>48300</v>
      </c>
      <c r="N40" s="7" t="s">
        <v>276</v>
      </c>
      <c r="O40" s="7" t="s">
        <v>278</v>
      </c>
      <c r="P40" s="11">
        <v>45302</v>
      </c>
      <c r="Q40" s="2" t="str">
        <f t="shared" si="0"/>
        <v>45302早班本地一区</v>
      </c>
      <c r="R40" s="2">
        <f t="shared" si="6"/>
        <v>12968332</v>
      </c>
      <c r="S40" s="2">
        <f t="shared" si="6"/>
        <v>48300</v>
      </c>
      <c r="T40" s="2" t="str">
        <f t="shared" si="2"/>
        <v>45302本地一区-早班</v>
      </c>
      <c r="U40" s="2">
        <f t="shared" si="3"/>
        <v>3.7244600000000002E-3</v>
      </c>
      <c r="V40" s="2" t="str">
        <f t="shared" si="4"/>
        <v>赵依然</v>
      </c>
    </row>
    <row r="41" spans="1:22" ht="16.5" x14ac:dyDescent="0.4">
      <c r="A41" s="4" t="s">
        <v>93</v>
      </c>
      <c r="B41" s="70" t="s">
        <v>105</v>
      </c>
      <c r="C41" s="4" t="s">
        <v>110</v>
      </c>
      <c r="D41" s="4">
        <v>172</v>
      </c>
      <c r="E41" s="4">
        <v>120</v>
      </c>
      <c r="F41" s="5">
        <v>36845</v>
      </c>
      <c r="G41" s="5">
        <v>93717</v>
      </c>
      <c r="H41" s="6">
        <v>-56872</v>
      </c>
      <c r="I41" s="4" t="s">
        <v>101</v>
      </c>
      <c r="J41" s="5">
        <v>4889833</v>
      </c>
      <c r="K41" s="5">
        <v>36845</v>
      </c>
      <c r="L41" s="5">
        <v>11859805</v>
      </c>
      <c r="M41" s="5">
        <v>39763</v>
      </c>
      <c r="N41" s="7" t="s">
        <v>277</v>
      </c>
      <c r="O41" s="7" t="s">
        <v>279</v>
      </c>
      <c r="P41" s="11">
        <v>45302</v>
      </c>
      <c r="Q41" s="2" t="str">
        <f t="shared" si="0"/>
        <v>45302早班本地二区</v>
      </c>
      <c r="R41" s="2">
        <f t="shared" si="6"/>
        <v>11859805</v>
      </c>
      <c r="S41" s="2">
        <f t="shared" si="6"/>
        <v>39763</v>
      </c>
      <c r="T41" s="2" t="str">
        <f t="shared" si="2"/>
        <v>45302本地二区-早班</v>
      </c>
      <c r="U41" s="2">
        <f t="shared" si="3"/>
        <v>3.3527499999999998E-3</v>
      </c>
      <c r="V41" s="2" t="str">
        <f t="shared" si="4"/>
        <v>赵勇</v>
      </c>
    </row>
    <row r="42" spans="1:22" ht="16.5" x14ac:dyDescent="0.4">
      <c r="A42" s="4" t="s">
        <v>92</v>
      </c>
      <c r="B42" s="70" t="s">
        <v>104</v>
      </c>
      <c r="C42" s="4" t="s">
        <v>158</v>
      </c>
      <c r="D42" s="4">
        <v>189</v>
      </c>
      <c r="E42" s="4">
        <v>113</v>
      </c>
      <c r="F42" s="5">
        <v>53763</v>
      </c>
      <c r="G42" s="5">
        <v>115970</v>
      </c>
      <c r="H42" s="6">
        <v>-62207</v>
      </c>
      <c r="I42" s="4" t="s">
        <v>101</v>
      </c>
      <c r="J42" s="5">
        <v>3561060</v>
      </c>
      <c r="K42" s="5">
        <v>53763</v>
      </c>
      <c r="L42" s="5">
        <v>10715828</v>
      </c>
      <c r="M42" s="5">
        <v>62062</v>
      </c>
      <c r="N42" s="7" t="s">
        <v>280</v>
      </c>
      <c r="O42" s="7" t="s">
        <v>281</v>
      </c>
      <c r="P42" s="11">
        <v>45302</v>
      </c>
      <c r="Q42" s="2" t="str">
        <f t="shared" si="0"/>
        <v>45302下午班本地一区</v>
      </c>
      <c r="R42" s="2">
        <f t="shared" si="6"/>
        <v>10715828</v>
      </c>
      <c r="S42" s="2">
        <f t="shared" si="6"/>
        <v>62062</v>
      </c>
      <c r="T42" s="2" t="str">
        <f t="shared" si="2"/>
        <v>45302本地一区-下午班</v>
      </c>
      <c r="U42" s="2">
        <f t="shared" si="3"/>
        <v>5.7916199999999999E-3</v>
      </c>
      <c r="V42" s="2" t="str">
        <f t="shared" si="4"/>
        <v>李晓晗</v>
      </c>
    </row>
    <row r="43" spans="1:22" ht="16.5" x14ac:dyDescent="0.4">
      <c r="A43" s="4" t="s">
        <v>92</v>
      </c>
      <c r="B43" s="70" t="s">
        <v>105</v>
      </c>
      <c r="C43" s="4" t="s">
        <v>133</v>
      </c>
      <c r="D43" s="4">
        <v>238</v>
      </c>
      <c r="E43" s="4">
        <v>127</v>
      </c>
      <c r="F43" s="5">
        <v>50303</v>
      </c>
      <c r="G43" s="5">
        <v>93717</v>
      </c>
      <c r="H43" s="6">
        <v>-43414</v>
      </c>
      <c r="I43" s="4" t="s">
        <v>101</v>
      </c>
      <c r="J43" s="5">
        <v>5805880</v>
      </c>
      <c r="K43" s="5">
        <v>50303</v>
      </c>
      <c r="L43" s="5">
        <v>13211129</v>
      </c>
      <c r="M43" s="5">
        <v>60467</v>
      </c>
      <c r="N43" s="7" t="s">
        <v>124</v>
      </c>
      <c r="O43" s="7" t="s">
        <v>282</v>
      </c>
      <c r="P43" s="11">
        <v>45302</v>
      </c>
      <c r="Q43" s="2" t="str">
        <f t="shared" si="0"/>
        <v>45302下午班本地二区</v>
      </c>
      <c r="R43" s="2">
        <f t="shared" si="6"/>
        <v>13211129</v>
      </c>
      <c r="S43" s="2">
        <f t="shared" si="6"/>
        <v>60467</v>
      </c>
      <c r="T43" s="2" t="str">
        <f t="shared" si="2"/>
        <v>45302本地二区-下午班</v>
      </c>
      <c r="U43" s="2">
        <f t="shared" si="3"/>
        <v>4.5769699999999996E-3</v>
      </c>
      <c r="V43" s="2" t="str">
        <f t="shared" si="4"/>
        <v>林好男</v>
      </c>
    </row>
    <row r="44" spans="1:22" ht="16.5" x14ac:dyDescent="0.4">
      <c r="A44" s="4" t="s">
        <v>93</v>
      </c>
      <c r="B44" s="70" t="s">
        <v>104</v>
      </c>
      <c r="C44" s="4" t="s">
        <v>110</v>
      </c>
      <c r="D44" s="4">
        <v>162</v>
      </c>
      <c r="E44" s="4">
        <v>120</v>
      </c>
      <c r="F44" s="5">
        <v>45155</v>
      </c>
      <c r="G44" s="5">
        <v>115970</v>
      </c>
      <c r="H44" s="6">
        <v>-70815</v>
      </c>
      <c r="I44" s="4" t="s">
        <v>101</v>
      </c>
      <c r="J44" s="5">
        <v>4808709</v>
      </c>
      <c r="K44" s="5">
        <v>45155</v>
      </c>
      <c r="L44" s="5">
        <v>14046155</v>
      </c>
      <c r="M44" s="5">
        <v>50959</v>
      </c>
      <c r="N44" s="7" t="s">
        <v>118</v>
      </c>
      <c r="O44" s="7" t="s">
        <v>284</v>
      </c>
      <c r="P44" s="11">
        <v>45303</v>
      </c>
      <c r="Q44" s="2" t="str">
        <f t="shared" si="0"/>
        <v>45303早班本地一区</v>
      </c>
      <c r="R44" s="2">
        <f t="shared" si="6"/>
        <v>14046155</v>
      </c>
      <c r="S44" s="2">
        <f t="shared" si="6"/>
        <v>50959</v>
      </c>
      <c r="T44" s="2" t="str">
        <f t="shared" si="2"/>
        <v>45303本地一区-早班</v>
      </c>
      <c r="U44" s="2">
        <f t="shared" si="3"/>
        <v>3.6279699999999999E-3</v>
      </c>
      <c r="V44" s="2" t="str">
        <f t="shared" si="4"/>
        <v>赵勇</v>
      </c>
    </row>
    <row r="45" spans="1:22" ht="16.5" x14ac:dyDescent="0.4">
      <c r="A45" s="4" t="s">
        <v>93</v>
      </c>
      <c r="B45" s="70" t="s">
        <v>105</v>
      </c>
      <c r="C45" s="4" t="s">
        <v>111</v>
      </c>
      <c r="D45" s="4">
        <v>160</v>
      </c>
      <c r="E45" s="4">
        <v>110</v>
      </c>
      <c r="F45" s="5">
        <v>36863</v>
      </c>
      <c r="G45" s="5">
        <v>93717</v>
      </c>
      <c r="H45" s="6">
        <v>-56854</v>
      </c>
      <c r="I45" s="4" t="s">
        <v>101</v>
      </c>
      <c r="J45" s="5">
        <v>6939650</v>
      </c>
      <c r="K45" s="5">
        <v>36863</v>
      </c>
      <c r="L45" s="5">
        <v>11672351</v>
      </c>
      <c r="M45" s="5">
        <v>38892</v>
      </c>
      <c r="N45" s="7" t="s">
        <v>283</v>
      </c>
      <c r="O45" s="7" t="s">
        <v>285</v>
      </c>
      <c r="P45" s="11">
        <v>45303</v>
      </c>
      <c r="Q45" s="2" t="str">
        <f t="shared" si="0"/>
        <v>45303早班本地二区</v>
      </c>
      <c r="R45" s="2">
        <f t="shared" si="6"/>
        <v>11672351</v>
      </c>
      <c r="S45" s="2">
        <f t="shared" si="6"/>
        <v>38892</v>
      </c>
      <c r="T45" s="2" t="str">
        <f t="shared" si="2"/>
        <v>45303本地二区-早班</v>
      </c>
      <c r="U45" s="2">
        <f t="shared" si="3"/>
        <v>3.33198E-3</v>
      </c>
      <c r="V45" s="2" t="str">
        <f t="shared" si="4"/>
        <v>陈楠</v>
      </c>
    </row>
    <row r="46" spans="1:22" ht="16.5" x14ac:dyDescent="0.4">
      <c r="A46" s="4" t="s">
        <v>92</v>
      </c>
      <c r="B46" s="70" t="s">
        <v>178</v>
      </c>
      <c r="C46" s="4" t="s">
        <v>133</v>
      </c>
      <c r="D46" s="4">
        <v>229</v>
      </c>
      <c r="E46" s="4">
        <v>174</v>
      </c>
      <c r="F46" s="5">
        <v>80101</v>
      </c>
      <c r="G46" s="5">
        <v>209686</v>
      </c>
      <c r="H46" s="6">
        <v>-129585</v>
      </c>
      <c r="I46" s="4" t="s">
        <v>101</v>
      </c>
      <c r="J46" s="5">
        <v>6308938</v>
      </c>
      <c r="K46" s="5">
        <v>80101</v>
      </c>
      <c r="L46" s="5">
        <v>18702757</v>
      </c>
      <c r="M46" s="5">
        <v>92718</v>
      </c>
      <c r="N46" s="7" t="s">
        <v>131</v>
      </c>
      <c r="O46" s="7" t="s">
        <v>286</v>
      </c>
      <c r="P46" s="11">
        <v>45303</v>
      </c>
      <c r="Q46" s="2" t="str">
        <f t="shared" si="0"/>
        <v>45303下午班本地所有</v>
      </c>
      <c r="R46" s="2">
        <f t="shared" si="6"/>
        <v>18702757</v>
      </c>
      <c r="S46" s="2">
        <f t="shared" si="6"/>
        <v>92718</v>
      </c>
      <c r="T46" s="2" t="str">
        <f t="shared" si="2"/>
        <v>45303本地所有-下午班</v>
      </c>
      <c r="U46" s="2">
        <f t="shared" si="3"/>
        <v>4.9574500000000004E-3</v>
      </c>
      <c r="V46" s="2" t="str">
        <f t="shared" si="4"/>
        <v>林好男</v>
      </c>
    </row>
    <row r="47" spans="1:22" ht="16.5" x14ac:dyDescent="0.4">
      <c r="A47" s="4" t="s">
        <v>93</v>
      </c>
      <c r="B47" s="70" t="s">
        <v>104</v>
      </c>
      <c r="C47" s="4" t="s">
        <v>158</v>
      </c>
      <c r="D47" s="4">
        <v>164</v>
      </c>
      <c r="E47" s="4">
        <v>110</v>
      </c>
      <c r="F47" s="5">
        <v>41397</v>
      </c>
      <c r="G47" s="5">
        <v>115970</v>
      </c>
      <c r="H47" s="6">
        <v>-74573</v>
      </c>
      <c r="I47" s="4" t="s">
        <v>101</v>
      </c>
      <c r="J47" s="5">
        <v>1440141</v>
      </c>
      <c r="K47" s="5">
        <v>41397</v>
      </c>
      <c r="L47" s="5">
        <v>9279585</v>
      </c>
      <c r="M47" s="5">
        <v>46326</v>
      </c>
      <c r="N47" s="7" t="s">
        <v>287</v>
      </c>
      <c r="O47" s="7" t="s">
        <v>288</v>
      </c>
      <c r="P47" s="11">
        <v>45304</v>
      </c>
      <c r="Q47" s="2" t="str">
        <f t="shared" si="0"/>
        <v>45304早班本地一区</v>
      </c>
      <c r="R47" s="2">
        <f t="shared" si="6"/>
        <v>9279585</v>
      </c>
      <c r="S47" s="2">
        <f t="shared" si="6"/>
        <v>46326</v>
      </c>
      <c r="T47" s="2" t="str">
        <f t="shared" si="2"/>
        <v>45304本地一区-早班</v>
      </c>
      <c r="U47" s="2">
        <f t="shared" si="3"/>
        <v>4.9922500000000002E-3</v>
      </c>
      <c r="V47" s="2" t="str">
        <f t="shared" si="4"/>
        <v>李晓晗</v>
      </c>
    </row>
    <row r="48" spans="1:22" ht="16.5" x14ac:dyDescent="0.4">
      <c r="A48" s="4" t="s">
        <v>93</v>
      </c>
      <c r="B48" s="70" t="s">
        <v>105</v>
      </c>
      <c r="C48" s="4" t="s">
        <v>111</v>
      </c>
      <c r="D48" s="4">
        <v>159</v>
      </c>
      <c r="E48" s="4">
        <v>118</v>
      </c>
      <c r="F48" s="5">
        <v>29113</v>
      </c>
      <c r="G48" s="5">
        <v>93717</v>
      </c>
      <c r="H48" s="6">
        <v>-64604</v>
      </c>
      <c r="I48" s="4" t="s">
        <v>101</v>
      </c>
      <c r="J48" s="5">
        <v>4407699</v>
      </c>
      <c r="K48" s="5">
        <v>29113</v>
      </c>
      <c r="L48" s="5">
        <v>9215389</v>
      </c>
      <c r="M48" s="5">
        <v>30975</v>
      </c>
      <c r="N48" s="7" t="s">
        <v>289</v>
      </c>
      <c r="O48" s="7" t="s">
        <v>290</v>
      </c>
      <c r="P48" s="11">
        <v>45304</v>
      </c>
      <c r="Q48" s="2" t="str">
        <f t="shared" si="0"/>
        <v>45304早班本地二区</v>
      </c>
      <c r="R48" s="2">
        <f t="shared" si="6"/>
        <v>9215389</v>
      </c>
      <c r="S48" s="2">
        <f t="shared" si="6"/>
        <v>30975</v>
      </c>
      <c r="T48" s="2" t="str">
        <f t="shared" si="2"/>
        <v>45304本地二区-早班</v>
      </c>
      <c r="U48" s="2">
        <f t="shared" si="3"/>
        <v>3.3612300000000002E-3</v>
      </c>
      <c r="V48" s="2" t="str">
        <f t="shared" si="4"/>
        <v>陈楠</v>
      </c>
    </row>
    <row r="49" spans="1:22" ht="16.5" x14ac:dyDescent="0.4">
      <c r="A49" s="4" t="s">
        <v>92</v>
      </c>
      <c r="B49" s="70" t="s">
        <v>178</v>
      </c>
      <c r="C49" s="4" t="s">
        <v>133</v>
      </c>
      <c r="D49" s="4">
        <v>362</v>
      </c>
      <c r="E49" s="4">
        <v>190</v>
      </c>
      <c r="F49" s="5">
        <v>92964</v>
      </c>
      <c r="G49" s="5">
        <v>209686</v>
      </c>
      <c r="H49" s="6">
        <v>-116722</v>
      </c>
      <c r="I49" s="4" t="s">
        <v>101</v>
      </c>
      <c r="J49" s="5">
        <v>5641533</v>
      </c>
      <c r="K49" s="5">
        <v>92964</v>
      </c>
      <c r="L49" s="5">
        <v>19244440</v>
      </c>
      <c r="M49" s="5">
        <v>106815</v>
      </c>
      <c r="N49" s="7" t="s">
        <v>138</v>
      </c>
      <c r="O49" s="7" t="s">
        <v>291</v>
      </c>
      <c r="P49" s="11">
        <v>45304</v>
      </c>
      <c r="Q49" s="2" t="str">
        <f t="shared" si="0"/>
        <v>45304下午班本地所有</v>
      </c>
      <c r="R49" s="2">
        <f t="shared" si="6"/>
        <v>19244440</v>
      </c>
      <c r="S49" s="2">
        <f t="shared" si="6"/>
        <v>106815</v>
      </c>
      <c r="T49" s="2" t="str">
        <f t="shared" si="2"/>
        <v>45304本地所有-下午班</v>
      </c>
      <c r="U49" s="2">
        <f t="shared" si="3"/>
        <v>5.5504300000000003E-3</v>
      </c>
      <c r="V49" s="2" t="str">
        <f t="shared" si="4"/>
        <v>林好男</v>
      </c>
    </row>
    <row r="50" spans="1:22" ht="16.5" x14ac:dyDescent="0.4">
      <c r="A50" s="4" t="s">
        <v>93</v>
      </c>
      <c r="B50" s="70" t="s">
        <v>104</v>
      </c>
      <c r="C50" s="4" t="s">
        <v>158</v>
      </c>
      <c r="D50" s="4">
        <v>168</v>
      </c>
      <c r="E50" s="4">
        <v>104</v>
      </c>
      <c r="F50" s="5">
        <v>42314</v>
      </c>
      <c r="G50" s="5">
        <v>115970</v>
      </c>
      <c r="H50" s="6">
        <v>-73656</v>
      </c>
      <c r="I50" s="4" t="s">
        <v>101</v>
      </c>
      <c r="J50" s="5">
        <v>1704935</v>
      </c>
      <c r="K50" s="5">
        <v>42314</v>
      </c>
      <c r="L50" s="5">
        <v>9214415</v>
      </c>
      <c r="M50" s="5">
        <v>47166</v>
      </c>
      <c r="N50" s="7" t="s">
        <v>292</v>
      </c>
      <c r="O50" s="7" t="s">
        <v>293</v>
      </c>
      <c r="P50" s="11">
        <v>45305</v>
      </c>
      <c r="Q50" s="2" t="str">
        <f t="shared" si="0"/>
        <v>45305早班本地一区</v>
      </c>
      <c r="R50" s="2">
        <f t="shared" ref="R50:S65" si="7">L50</f>
        <v>9214415</v>
      </c>
      <c r="S50" s="2">
        <f t="shared" si="7"/>
        <v>47166</v>
      </c>
      <c r="T50" s="2" t="str">
        <f t="shared" si="2"/>
        <v>45305本地一区-早班</v>
      </c>
      <c r="U50" s="2">
        <f t="shared" si="3"/>
        <v>5.1187200000000002E-3</v>
      </c>
      <c r="V50" s="2" t="str">
        <f t="shared" si="4"/>
        <v>李晓晗</v>
      </c>
    </row>
    <row r="51" spans="1:22" ht="16.5" x14ac:dyDescent="0.4">
      <c r="A51" s="4" t="s">
        <v>93</v>
      </c>
      <c r="B51" s="70" t="s">
        <v>105</v>
      </c>
      <c r="C51" s="4" t="s">
        <v>122</v>
      </c>
      <c r="D51" s="4">
        <v>166</v>
      </c>
      <c r="E51" s="4">
        <v>102</v>
      </c>
      <c r="F51" s="5">
        <v>29022</v>
      </c>
      <c r="G51" s="5">
        <v>93717</v>
      </c>
      <c r="H51" s="6">
        <v>-64695</v>
      </c>
      <c r="I51" s="4" t="s">
        <v>101</v>
      </c>
      <c r="J51" s="5">
        <v>1093206</v>
      </c>
      <c r="K51" s="5">
        <v>29022</v>
      </c>
      <c r="L51" s="5">
        <v>7444113</v>
      </c>
      <c r="M51" s="5">
        <v>31699</v>
      </c>
      <c r="N51" s="7" t="s">
        <v>294</v>
      </c>
      <c r="O51" s="7" t="s">
        <v>295</v>
      </c>
      <c r="P51" s="11">
        <v>45305</v>
      </c>
      <c r="Q51" s="2" t="str">
        <f t="shared" si="0"/>
        <v>45305早班本地二区</v>
      </c>
      <c r="R51" s="2">
        <f t="shared" si="7"/>
        <v>7444113</v>
      </c>
      <c r="S51" s="2">
        <f t="shared" si="7"/>
        <v>31699</v>
      </c>
      <c r="T51" s="2" t="str">
        <f t="shared" si="2"/>
        <v>45305本地二区-早班</v>
      </c>
      <c r="U51" s="2">
        <f t="shared" si="3"/>
        <v>4.2582599999999998E-3</v>
      </c>
      <c r="V51" s="2" t="str">
        <f t="shared" si="4"/>
        <v>赵依然</v>
      </c>
    </row>
    <row r="52" spans="1:22" ht="16.5" x14ac:dyDescent="0.4">
      <c r="A52" s="4" t="s">
        <v>92</v>
      </c>
      <c r="B52" s="70" t="s">
        <v>178</v>
      </c>
      <c r="C52" s="4" t="s">
        <v>111</v>
      </c>
      <c r="D52" s="4">
        <v>190</v>
      </c>
      <c r="E52" s="4">
        <v>126</v>
      </c>
      <c r="F52" s="5">
        <v>76373</v>
      </c>
      <c r="G52" s="5">
        <v>209686</v>
      </c>
      <c r="H52" s="6">
        <v>-133313</v>
      </c>
      <c r="I52" s="4" t="s">
        <v>101</v>
      </c>
      <c r="J52" s="5">
        <v>8482455</v>
      </c>
      <c r="K52" s="5">
        <v>76373</v>
      </c>
      <c r="L52" s="5">
        <v>18150044</v>
      </c>
      <c r="M52" s="5">
        <v>84141</v>
      </c>
      <c r="N52" s="7" t="s">
        <v>296</v>
      </c>
      <c r="O52" s="7" t="s">
        <v>297</v>
      </c>
      <c r="P52" s="11">
        <v>45305</v>
      </c>
      <c r="Q52" s="2" t="str">
        <f t="shared" si="0"/>
        <v>45305下午班本地所有</v>
      </c>
      <c r="R52" s="2">
        <f t="shared" si="7"/>
        <v>18150044</v>
      </c>
      <c r="S52" s="2">
        <f t="shared" si="7"/>
        <v>84141</v>
      </c>
      <c r="T52" s="2" t="str">
        <f t="shared" si="2"/>
        <v>45305本地所有-下午班</v>
      </c>
      <c r="U52" s="2">
        <f t="shared" si="3"/>
        <v>4.6358600000000003E-3</v>
      </c>
      <c r="V52" s="2" t="str">
        <f t="shared" si="4"/>
        <v>陈楠</v>
      </c>
    </row>
    <row r="53" spans="1:22" ht="16.5" x14ac:dyDescent="0.4">
      <c r="A53" s="4" t="s">
        <v>93</v>
      </c>
      <c r="B53" s="70" t="s">
        <v>104</v>
      </c>
      <c r="C53" s="4" t="s">
        <v>122</v>
      </c>
      <c r="D53" s="4">
        <v>155</v>
      </c>
      <c r="E53" s="4">
        <v>113</v>
      </c>
      <c r="F53" s="5">
        <v>39386</v>
      </c>
      <c r="G53" s="5">
        <v>115970</v>
      </c>
      <c r="H53" s="6">
        <v>-76584</v>
      </c>
      <c r="I53" s="4" t="s">
        <v>101</v>
      </c>
      <c r="J53" s="5">
        <v>4143199</v>
      </c>
      <c r="K53" s="5">
        <v>39386</v>
      </c>
      <c r="L53" s="5">
        <v>12019620</v>
      </c>
      <c r="M53" s="5">
        <v>43403</v>
      </c>
      <c r="N53" s="7" t="s">
        <v>298</v>
      </c>
      <c r="O53" s="7" t="s">
        <v>300</v>
      </c>
      <c r="P53" s="11">
        <v>45306</v>
      </c>
      <c r="Q53" s="2" t="str">
        <f t="shared" si="0"/>
        <v>45306早班本地一区</v>
      </c>
      <c r="R53" s="2">
        <f t="shared" si="7"/>
        <v>12019620</v>
      </c>
      <c r="S53" s="2">
        <f t="shared" si="7"/>
        <v>43403</v>
      </c>
      <c r="T53" s="2" t="str">
        <f t="shared" si="2"/>
        <v>45306本地一区-早班</v>
      </c>
      <c r="U53" s="2">
        <f t="shared" si="3"/>
        <v>3.61101E-3</v>
      </c>
      <c r="V53" s="2" t="str">
        <f t="shared" si="4"/>
        <v>赵依然</v>
      </c>
    </row>
    <row r="54" spans="1:22" ht="16.5" x14ac:dyDescent="0.4">
      <c r="A54" s="4" t="s">
        <v>93</v>
      </c>
      <c r="B54" s="70" t="s">
        <v>105</v>
      </c>
      <c r="C54" s="4" t="s">
        <v>158</v>
      </c>
      <c r="D54" s="4">
        <v>162</v>
      </c>
      <c r="E54" s="4">
        <v>100</v>
      </c>
      <c r="F54" s="5">
        <v>37628</v>
      </c>
      <c r="G54" s="5">
        <v>93717</v>
      </c>
      <c r="H54" s="6">
        <v>-56089</v>
      </c>
      <c r="I54" s="4" t="s">
        <v>101</v>
      </c>
      <c r="J54" s="5">
        <v>2014083</v>
      </c>
      <c r="K54" s="5">
        <v>37628</v>
      </c>
      <c r="L54" s="5">
        <v>7752590</v>
      </c>
      <c r="M54" s="5">
        <v>41800</v>
      </c>
      <c r="N54" s="7" t="s">
        <v>301</v>
      </c>
      <c r="O54" s="7" t="s">
        <v>302</v>
      </c>
      <c r="P54" s="11">
        <v>45306</v>
      </c>
      <c r="Q54" s="2" t="str">
        <f t="shared" si="0"/>
        <v>45306早班本地二区</v>
      </c>
      <c r="R54" s="2">
        <f t="shared" si="7"/>
        <v>7752590</v>
      </c>
      <c r="S54" s="2">
        <f t="shared" si="7"/>
        <v>41800</v>
      </c>
      <c r="T54" s="2" t="str">
        <f t="shared" si="2"/>
        <v>45306本地二区-早班</v>
      </c>
      <c r="U54" s="2">
        <f t="shared" si="3"/>
        <v>5.3917499999999998E-3</v>
      </c>
      <c r="V54" s="2" t="str">
        <f t="shared" si="4"/>
        <v>李晓晗</v>
      </c>
    </row>
    <row r="55" spans="1:22" ht="16.5" x14ac:dyDescent="0.4">
      <c r="A55" s="4" t="s">
        <v>92</v>
      </c>
      <c r="B55" s="70" t="s">
        <v>104</v>
      </c>
      <c r="C55" s="4" t="s">
        <v>110</v>
      </c>
      <c r="D55" s="4">
        <v>142</v>
      </c>
      <c r="E55" s="4">
        <v>101</v>
      </c>
      <c r="F55" s="5">
        <v>54349</v>
      </c>
      <c r="G55" s="5">
        <v>115970</v>
      </c>
      <c r="H55" s="6">
        <v>-61621</v>
      </c>
      <c r="I55" s="4" t="s">
        <v>101</v>
      </c>
      <c r="J55" s="5">
        <v>2727715</v>
      </c>
      <c r="K55" s="5">
        <v>54349</v>
      </c>
      <c r="L55" s="5">
        <v>11848533</v>
      </c>
      <c r="M55" s="5">
        <v>64408</v>
      </c>
      <c r="N55" s="7" t="s">
        <v>303</v>
      </c>
      <c r="O55" s="7" t="s">
        <v>304</v>
      </c>
      <c r="P55" s="11">
        <v>45306</v>
      </c>
      <c r="Q55" s="2" t="str">
        <f t="shared" si="0"/>
        <v>45306下午班本地一区</v>
      </c>
      <c r="R55" s="2">
        <f t="shared" si="7"/>
        <v>11848533</v>
      </c>
      <c r="S55" s="2">
        <f t="shared" si="7"/>
        <v>64408</v>
      </c>
      <c r="T55" s="2" t="str">
        <f t="shared" si="2"/>
        <v>45306本地一区-下午班</v>
      </c>
      <c r="U55" s="2">
        <f t="shared" si="3"/>
        <v>5.4359500000000002E-3</v>
      </c>
      <c r="V55" s="2" t="str">
        <f t="shared" si="4"/>
        <v>赵勇</v>
      </c>
    </row>
    <row r="56" spans="1:22" ht="16.5" x14ac:dyDescent="0.4">
      <c r="A56" s="4" t="s">
        <v>92</v>
      </c>
      <c r="B56" s="70" t="s">
        <v>105</v>
      </c>
      <c r="C56" s="4" t="s">
        <v>111</v>
      </c>
      <c r="D56" s="4">
        <v>160</v>
      </c>
      <c r="E56" s="4">
        <v>111</v>
      </c>
      <c r="F56" s="5">
        <v>56908</v>
      </c>
      <c r="G56" s="5">
        <v>93717</v>
      </c>
      <c r="H56" s="6">
        <v>-36809</v>
      </c>
      <c r="I56" s="4" t="s">
        <v>101</v>
      </c>
      <c r="J56" s="5">
        <v>8487106</v>
      </c>
      <c r="K56" s="5">
        <v>56908</v>
      </c>
      <c r="L56" s="5">
        <v>16337550</v>
      </c>
      <c r="M56" s="5">
        <v>61819</v>
      </c>
      <c r="N56" s="7" t="s">
        <v>299</v>
      </c>
      <c r="O56" s="7" t="s">
        <v>305</v>
      </c>
      <c r="P56" s="11">
        <v>45306</v>
      </c>
      <c r="Q56" s="2" t="str">
        <f t="shared" si="0"/>
        <v>45306下午班本地二区</v>
      </c>
      <c r="R56" s="2">
        <f t="shared" si="7"/>
        <v>16337550</v>
      </c>
      <c r="S56" s="2">
        <f t="shared" si="7"/>
        <v>61819</v>
      </c>
      <c r="T56" s="2" t="str">
        <f t="shared" si="2"/>
        <v>45306本地二区-下午班</v>
      </c>
      <c r="U56" s="2">
        <f t="shared" si="3"/>
        <v>3.78386E-3</v>
      </c>
      <c r="V56" s="2" t="str">
        <f t="shared" si="4"/>
        <v>陈楠</v>
      </c>
    </row>
    <row r="57" spans="1:22" ht="16.5" x14ac:dyDescent="0.4">
      <c r="A57" s="4" t="s">
        <v>93</v>
      </c>
      <c r="B57" s="70" t="s">
        <v>104</v>
      </c>
      <c r="C57" s="4" t="s">
        <v>133</v>
      </c>
      <c r="D57" s="4">
        <v>170</v>
      </c>
      <c r="E57" s="4">
        <v>123</v>
      </c>
      <c r="F57" s="5">
        <v>43651</v>
      </c>
      <c r="G57" s="5">
        <v>115970</v>
      </c>
      <c r="H57" s="6">
        <v>-72319</v>
      </c>
      <c r="I57" s="4" t="s">
        <v>101</v>
      </c>
      <c r="J57" s="5">
        <v>1986244</v>
      </c>
      <c r="K57" s="5">
        <v>43651</v>
      </c>
      <c r="L57" s="5">
        <v>11008403</v>
      </c>
      <c r="M57" s="5">
        <v>50451</v>
      </c>
      <c r="N57" s="7" t="s">
        <v>308</v>
      </c>
      <c r="O57" s="7" t="s">
        <v>309</v>
      </c>
      <c r="P57" s="11">
        <v>45307</v>
      </c>
      <c r="Q57" s="2" t="str">
        <f t="shared" si="0"/>
        <v>45307早班本地一区</v>
      </c>
      <c r="R57" s="2">
        <f t="shared" si="7"/>
        <v>11008403</v>
      </c>
      <c r="S57" s="2">
        <f t="shared" si="7"/>
        <v>50451</v>
      </c>
      <c r="T57" s="2" t="str">
        <f t="shared" si="2"/>
        <v>45307本地一区-早班</v>
      </c>
      <c r="U57" s="2">
        <f t="shared" si="3"/>
        <v>4.5829499999999997E-3</v>
      </c>
      <c r="V57" s="2" t="str">
        <f t="shared" si="4"/>
        <v>林好男</v>
      </c>
    </row>
    <row r="58" spans="1:22" ht="16.5" x14ac:dyDescent="0.4">
      <c r="A58" s="4" t="s">
        <v>93</v>
      </c>
      <c r="B58" s="70" t="s">
        <v>105</v>
      </c>
      <c r="C58" s="4" t="s">
        <v>122</v>
      </c>
      <c r="D58" s="4">
        <v>174</v>
      </c>
      <c r="E58" s="4">
        <v>100</v>
      </c>
      <c r="F58" s="5">
        <v>32118</v>
      </c>
      <c r="G58" s="5">
        <v>93717</v>
      </c>
      <c r="H58" s="6">
        <v>-61599</v>
      </c>
      <c r="I58" s="4" t="s">
        <v>101</v>
      </c>
      <c r="J58" s="5">
        <v>2295699</v>
      </c>
      <c r="K58" s="5">
        <v>32118</v>
      </c>
      <c r="L58" s="5">
        <v>8847837</v>
      </c>
      <c r="M58" s="5">
        <v>35813</v>
      </c>
      <c r="N58" s="7" t="s">
        <v>306</v>
      </c>
      <c r="O58" s="7" t="s">
        <v>310</v>
      </c>
      <c r="P58" s="11">
        <v>45307</v>
      </c>
      <c r="Q58" s="2" t="str">
        <f t="shared" si="0"/>
        <v>45307早班本地二区</v>
      </c>
      <c r="R58" s="2">
        <f t="shared" si="7"/>
        <v>8847837</v>
      </c>
      <c r="S58" s="2">
        <f t="shared" si="7"/>
        <v>35813</v>
      </c>
      <c r="T58" s="2" t="str">
        <f t="shared" si="2"/>
        <v>45307本地二区-早班</v>
      </c>
      <c r="U58" s="2">
        <f t="shared" si="3"/>
        <v>4.0476599999999998E-3</v>
      </c>
      <c r="V58" s="2" t="str">
        <f t="shared" si="4"/>
        <v>赵依然</v>
      </c>
    </row>
    <row r="59" spans="1:22" ht="16.5" x14ac:dyDescent="0.4">
      <c r="A59" s="4" t="s">
        <v>92</v>
      </c>
      <c r="B59" s="70" t="s">
        <v>104</v>
      </c>
      <c r="C59" s="4" t="s">
        <v>110</v>
      </c>
      <c r="D59" s="4">
        <v>157</v>
      </c>
      <c r="E59" s="4">
        <v>123</v>
      </c>
      <c r="F59" s="5">
        <v>66530</v>
      </c>
      <c r="G59" s="5">
        <v>115970</v>
      </c>
      <c r="H59" s="6">
        <v>-49440</v>
      </c>
      <c r="I59" s="4" t="s">
        <v>101</v>
      </c>
      <c r="J59" s="5">
        <v>4487664</v>
      </c>
      <c r="K59" s="5">
        <v>66530</v>
      </c>
      <c r="L59" s="5">
        <v>17789724</v>
      </c>
      <c r="M59" s="5">
        <v>78464</v>
      </c>
      <c r="N59" s="7" t="s">
        <v>112</v>
      </c>
      <c r="O59" s="7" t="s">
        <v>311</v>
      </c>
      <c r="P59" s="11">
        <v>45307</v>
      </c>
      <c r="Q59" s="2" t="str">
        <f t="shared" si="0"/>
        <v>45307下午班本地一区</v>
      </c>
      <c r="R59" s="2">
        <f t="shared" si="7"/>
        <v>17789724</v>
      </c>
      <c r="S59" s="2">
        <f t="shared" si="7"/>
        <v>78464</v>
      </c>
      <c r="T59" s="2" t="str">
        <f t="shared" si="2"/>
        <v>45307本地一区-下午班</v>
      </c>
      <c r="U59" s="2">
        <f t="shared" si="3"/>
        <v>4.4106400000000004E-3</v>
      </c>
      <c r="V59" s="2" t="str">
        <f t="shared" si="4"/>
        <v>赵勇</v>
      </c>
    </row>
    <row r="60" spans="1:22" ht="16.5" x14ac:dyDescent="0.4">
      <c r="A60" s="4" t="s">
        <v>92</v>
      </c>
      <c r="B60" s="70" t="s">
        <v>105</v>
      </c>
      <c r="C60" s="4" t="s">
        <v>111</v>
      </c>
      <c r="D60" s="4">
        <v>162</v>
      </c>
      <c r="E60" s="4">
        <v>105</v>
      </c>
      <c r="F60" s="5">
        <v>47971</v>
      </c>
      <c r="G60" s="5">
        <v>93717</v>
      </c>
      <c r="H60" s="6">
        <v>-45746</v>
      </c>
      <c r="I60" s="4" t="s">
        <v>101</v>
      </c>
      <c r="J60" s="5">
        <v>4334333</v>
      </c>
      <c r="K60" s="5">
        <v>47971</v>
      </c>
      <c r="L60" s="5">
        <v>12647166</v>
      </c>
      <c r="M60" s="5">
        <v>53690</v>
      </c>
      <c r="N60" s="7" t="s">
        <v>307</v>
      </c>
      <c r="O60" s="7" t="s">
        <v>312</v>
      </c>
      <c r="P60" s="11">
        <v>45307</v>
      </c>
      <c r="Q60" s="2" t="str">
        <f t="shared" si="0"/>
        <v>45307下午班本地二区</v>
      </c>
      <c r="R60" s="2">
        <f t="shared" si="7"/>
        <v>12647166</v>
      </c>
      <c r="S60" s="2">
        <f t="shared" si="7"/>
        <v>53690</v>
      </c>
      <c r="T60" s="2" t="str">
        <f t="shared" si="2"/>
        <v>45307本地二区-下午班</v>
      </c>
      <c r="U60" s="2">
        <f t="shared" si="3"/>
        <v>4.2452200000000001E-3</v>
      </c>
      <c r="V60" s="2" t="str">
        <f t="shared" si="4"/>
        <v>陈楠</v>
      </c>
    </row>
    <row r="61" spans="1:22" ht="16.5" x14ac:dyDescent="0.4">
      <c r="A61" s="4" t="s">
        <v>93</v>
      </c>
      <c r="B61" s="70" t="s">
        <v>178</v>
      </c>
      <c r="C61" s="4" t="s">
        <v>133</v>
      </c>
      <c r="D61" s="4">
        <v>215</v>
      </c>
      <c r="E61" s="4">
        <v>141</v>
      </c>
      <c r="F61" s="5">
        <v>59820</v>
      </c>
      <c r="G61" s="5">
        <v>209686</v>
      </c>
      <c r="H61" s="6">
        <v>-149866</v>
      </c>
      <c r="I61" s="4" t="s">
        <v>101</v>
      </c>
      <c r="J61" s="5">
        <v>5421862</v>
      </c>
      <c r="K61" s="5">
        <v>59820</v>
      </c>
      <c r="L61" s="5">
        <v>15494969</v>
      </c>
      <c r="M61" s="5">
        <v>64566</v>
      </c>
      <c r="N61" s="7" t="s">
        <v>157</v>
      </c>
      <c r="O61" s="7" t="s">
        <v>313</v>
      </c>
      <c r="P61" s="11">
        <v>45308</v>
      </c>
      <c r="Q61" s="2" t="str">
        <f t="shared" si="0"/>
        <v>45308早班本地所有</v>
      </c>
      <c r="R61" s="2">
        <f t="shared" si="7"/>
        <v>15494969</v>
      </c>
      <c r="S61" s="2">
        <f t="shared" si="7"/>
        <v>64566</v>
      </c>
      <c r="T61" s="2" t="str">
        <f t="shared" si="2"/>
        <v>45308本地所有-早班</v>
      </c>
      <c r="U61" s="2">
        <f t="shared" si="3"/>
        <v>4.1669000000000003E-3</v>
      </c>
      <c r="V61" s="2" t="str">
        <f t="shared" si="4"/>
        <v>林好男</v>
      </c>
    </row>
    <row r="62" spans="1:22" ht="16.5" x14ac:dyDescent="0.4">
      <c r="A62" s="4" t="s">
        <v>92</v>
      </c>
      <c r="B62" s="70" t="s">
        <v>104</v>
      </c>
      <c r="C62" s="4" t="s">
        <v>110</v>
      </c>
      <c r="D62" s="4">
        <v>169</v>
      </c>
      <c r="E62" s="4">
        <v>128</v>
      </c>
      <c r="F62" s="5">
        <v>57690</v>
      </c>
      <c r="G62" s="5">
        <v>115970</v>
      </c>
      <c r="H62" s="6">
        <v>-58280</v>
      </c>
      <c r="I62" s="4" t="s">
        <v>101</v>
      </c>
      <c r="J62" s="5">
        <v>4719960</v>
      </c>
      <c r="K62" s="5">
        <v>57690</v>
      </c>
      <c r="L62" s="5">
        <v>16099453</v>
      </c>
      <c r="M62" s="5">
        <v>65485</v>
      </c>
      <c r="N62" s="7" t="s">
        <v>121</v>
      </c>
      <c r="O62" s="7" t="s">
        <v>314</v>
      </c>
      <c r="P62" s="11">
        <v>45308</v>
      </c>
      <c r="Q62" s="2" t="str">
        <f t="shared" si="0"/>
        <v>45308下午班本地一区</v>
      </c>
      <c r="R62" s="2">
        <f t="shared" si="7"/>
        <v>16099453</v>
      </c>
      <c r="S62" s="2">
        <f t="shared" si="7"/>
        <v>65485</v>
      </c>
      <c r="T62" s="2" t="str">
        <f t="shared" si="2"/>
        <v>45308本地一区-下午班</v>
      </c>
      <c r="U62" s="2">
        <f t="shared" si="3"/>
        <v>4.0675299999999998E-3</v>
      </c>
      <c r="V62" s="2" t="str">
        <f t="shared" si="4"/>
        <v>赵勇</v>
      </c>
    </row>
    <row r="63" spans="1:22" ht="16.5" x14ac:dyDescent="0.4">
      <c r="A63" s="4" t="s">
        <v>92</v>
      </c>
      <c r="B63" s="70" t="s">
        <v>105</v>
      </c>
      <c r="C63" s="4" t="s">
        <v>158</v>
      </c>
      <c r="D63" s="4">
        <v>182</v>
      </c>
      <c r="E63" s="4">
        <v>104</v>
      </c>
      <c r="F63" s="5">
        <v>44352</v>
      </c>
      <c r="G63" s="5">
        <v>93717</v>
      </c>
      <c r="H63" s="6">
        <v>-49365</v>
      </c>
      <c r="I63" s="4" t="s">
        <v>101</v>
      </c>
      <c r="J63" s="5">
        <v>2431897</v>
      </c>
      <c r="K63" s="5">
        <v>44352</v>
      </c>
      <c r="L63" s="5">
        <v>8121456</v>
      </c>
      <c r="M63" s="5">
        <v>51026</v>
      </c>
      <c r="N63" s="7" t="s">
        <v>315</v>
      </c>
      <c r="O63" s="7" t="s">
        <v>316</v>
      </c>
      <c r="P63" s="11">
        <v>45308</v>
      </c>
      <c r="Q63" s="2" t="str">
        <f t="shared" si="0"/>
        <v>45308下午班本地二区</v>
      </c>
      <c r="R63" s="2">
        <f t="shared" si="7"/>
        <v>8121456</v>
      </c>
      <c r="S63" s="2">
        <f t="shared" si="7"/>
        <v>51026</v>
      </c>
      <c r="T63" s="2" t="str">
        <f t="shared" si="2"/>
        <v>45308本地二区-下午班</v>
      </c>
      <c r="U63" s="2">
        <f t="shared" si="3"/>
        <v>6.2828600000000004E-3</v>
      </c>
      <c r="V63" s="2" t="str">
        <f t="shared" si="4"/>
        <v>李晓晗</v>
      </c>
    </row>
    <row r="64" spans="1:22" ht="16.5" x14ac:dyDescent="0.4">
      <c r="A64" s="4" t="s">
        <v>93</v>
      </c>
      <c r="B64" s="70" t="s">
        <v>104</v>
      </c>
      <c r="C64" s="4" t="s">
        <v>122</v>
      </c>
      <c r="D64" s="4">
        <v>172</v>
      </c>
      <c r="E64" s="4">
        <v>108</v>
      </c>
      <c r="F64" s="5">
        <v>40886</v>
      </c>
      <c r="G64" s="5">
        <v>115970</v>
      </c>
      <c r="H64" s="6">
        <v>-75084</v>
      </c>
      <c r="I64" s="4" t="s">
        <v>101</v>
      </c>
      <c r="J64" s="5">
        <v>2222501</v>
      </c>
      <c r="K64" s="5">
        <v>40886</v>
      </c>
      <c r="L64" s="5">
        <v>11222438</v>
      </c>
      <c r="M64" s="5">
        <v>46286</v>
      </c>
      <c r="N64" s="7" t="s">
        <v>318</v>
      </c>
      <c r="O64" s="7" t="s">
        <v>319</v>
      </c>
      <c r="P64" s="11">
        <v>45309</v>
      </c>
      <c r="Q64" s="2" t="str">
        <f t="shared" si="0"/>
        <v>45309早班本地一区</v>
      </c>
      <c r="R64" s="2">
        <f t="shared" si="7"/>
        <v>11222438</v>
      </c>
      <c r="S64" s="2">
        <f t="shared" si="7"/>
        <v>46286</v>
      </c>
      <c r="T64" s="2" t="str">
        <f t="shared" si="2"/>
        <v>45309本地一区-早班</v>
      </c>
      <c r="U64" s="2">
        <f t="shared" si="3"/>
        <v>4.1244200000000002E-3</v>
      </c>
      <c r="V64" s="2" t="str">
        <f t="shared" si="4"/>
        <v>赵依然</v>
      </c>
    </row>
    <row r="65" spans="1:22" ht="16.5" x14ac:dyDescent="0.4">
      <c r="A65" s="4" t="s">
        <v>93</v>
      </c>
      <c r="B65" s="70" t="s">
        <v>105</v>
      </c>
      <c r="C65" s="4" t="s">
        <v>133</v>
      </c>
      <c r="D65" s="4">
        <v>186</v>
      </c>
      <c r="E65" s="4">
        <v>121</v>
      </c>
      <c r="F65" s="5">
        <v>32065</v>
      </c>
      <c r="G65" s="5">
        <v>93717</v>
      </c>
      <c r="H65" s="6">
        <v>-61652</v>
      </c>
      <c r="I65" s="4" t="s">
        <v>101</v>
      </c>
      <c r="J65" s="5">
        <v>3146398</v>
      </c>
      <c r="K65" s="5">
        <v>32065</v>
      </c>
      <c r="L65" s="5">
        <v>9887534</v>
      </c>
      <c r="M65" s="5">
        <v>35144</v>
      </c>
      <c r="N65" s="7" t="s">
        <v>113</v>
      </c>
      <c r="O65" s="7" t="s">
        <v>320</v>
      </c>
      <c r="P65" s="11">
        <v>45309</v>
      </c>
      <c r="Q65" s="2" t="str">
        <f t="shared" si="0"/>
        <v>45309早班本地二区</v>
      </c>
      <c r="R65" s="2">
        <f t="shared" si="7"/>
        <v>9887534</v>
      </c>
      <c r="S65" s="2">
        <f t="shared" si="7"/>
        <v>35144</v>
      </c>
      <c r="T65" s="2" t="str">
        <f t="shared" si="2"/>
        <v>45309本地二区-早班</v>
      </c>
      <c r="U65" s="2">
        <f t="shared" si="3"/>
        <v>3.5543699999999998E-3</v>
      </c>
      <c r="V65" s="2" t="str">
        <f t="shared" si="4"/>
        <v>林好男</v>
      </c>
    </row>
    <row r="66" spans="1:22" ht="16.5" x14ac:dyDescent="0.4">
      <c r="A66" s="4" t="s">
        <v>92</v>
      </c>
      <c r="B66" s="70" t="s">
        <v>104</v>
      </c>
      <c r="C66" s="4" t="s">
        <v>158</v>
      </c>
      <c r="D66" s="4">
        <v>179</v>
      </c>
      <c r="E66" s="4">
        <v>108</v>
      </c>
      <c r="F66" s="5">
        <v>56114</v>
      </c>
      <c r="G66" s="5">
        <v>115970</v>
      </c>
      <c r="H66" s="6">
        <v>-59856</v>
      </c>
      <c r="I66" s="4" t="s">
        <v>101</v>
      </c>
      <c r="J66" s="5">
        <v>3505108</v>
      </c>
      <c r="K66" s="5">
        <v>56114</v>
      </c>
      <c r="L66" s="5">
        <v>10622888</v>
      </c>
      <c r="M66" s="5">
        <v>64857</v>
      </c>
      <c r="N66" s="7" t="s">
        <v>135</v>
      </c>
      <c r="O66" s="7" t="s">
        <v>321</v>
      </c>
      <c r="P66" s="11">
        <v>45309</v>
      </c>
      <c r="Q66" s="2" t="str">
        <f t="shared" ref="Q66:Q129" si="8">P66&amp;A66&amp;B66</f>
        <v>45309下午班本地一区</v>
      </c>
      <c r="R66" s="2">
        <f t="shared" ref="R66:S81" si="9">L66</f>
        <v>10622888</v>
      </c>
      <c r="S66" s="2">
        <f t="shared" si="9"/>
        <v>64857</v>
      </c>
      <c r="T66" s="2" t="str">
        <f t="shared" ref="T66:T129" si="10">P66&amp;B66&amp;"-"&amp;A66</f>
        <v>45309本地一区-下午班</v>
      </c>
      <c r="U66" s="2">
        <f t="shared" ref="U66:U129" si="11">O66*1</f>
        <v>6.1054000000000004E-3</v>
      </c>
      <c r="V66" s="2" t="str">
        <f t="shared" ref="V66:V129" si="12">C66</f>
        <v>李晓晗</v>
      </c>
    </row>
    <row r="67" spans="1:22" ht="16.5" x14ac:dyDescent="0.4">
      <c r="A67" s="4" t="s">
        <v>92</v>
      </c>
      <c r="B67" s="70" t="s">
        <v>105</v>
      </c>
      <c r="C67" s="4" t="s">
        <v>110</v>
      </c>
      <c r="D67" s="4">
        <v>182</v>
      </c>
      <c r="E67" s="4">
        <v>125</v>
      </c>
      <c r="F67" s="5">
        <v>50595</v>
      </c>
      <c r="G67" s="5">
        <v>93717</v>
      </c>
      <c r="H67" s="6">
        <v>-43122</v>
      </c>
      <c r="I67" s="4" t="s">
        <v>101</v>
      </c>
      <c r="J67" s="5">
        <v>6417568</v>
      </c>
      <c r="K67" s="5">
        <v>50595</v>
      </c>
      <c r="L67" s="5">
        <v>14248958</v>
      </c>
      <c r="M67" s="5">
        <v>56942</v>
      </c>
      <c r="N67" s="7" t="s">
        <v>317</v>
      </c>
      <c r="O67" s="7" t="s">
        <v>322</v>
      </c>
      <c r="P67" s="11">
        <v>45309</v>
      </c>
      <c r="Q67" s="2" t="str">
        <f t="shared" si="8"/>
        <v>45309下午班本地二区</v>
      </c>
      <c r="R67" s="2">
        <f t="shared" si="9"/>
        <v>14248958</v>
      </c>
      <c r="S67" s="2">
        <f t="shared" si="9"/>
        <v>56942</v>
      </c>
      <c r="T67" s="2" t="str">
        <f t="shared" si="10"/>
        <v>45309本地二区-下午班</v>
      </c>
      <c r="U67" s="2">
        <f t="shared" si="11"/>
        <v>3.99622E-3</v>
      </c>
      <c r="V67" s="2" t="str">
        <f t="shared" si="12"/>
        <v>赵勇</v>
      </c>
    </row>
    <row r="68" spans="1:22" ht="16.5" x14ac:dyDescent="0.4">
      <c r="A68" s="4" t="s">
        <v>93</v>
      </c>
      <c r="B68" s="70" t="s">
        <v>104</v>
      </c>
      <c r="C68" s="4" t="s">
        <v>133</v>
      </c>
      <c r="D68" s="4">
        <v>170</v>
      </c>
      <c r="E68" s="4">
        <v>127</v>
      </c>
      <c r="F68" s="5">
        <v>50459</v>
      </c>
      <c r="G68" s="5">
        <v>115970</v>
      </c>
      <c r="H68" s="6">
        <v>-65511</v>
      </c>
      <c r="I68" s="4" t="s">
        <v>101</v>
      </c>
      <c r="J68" s="5">
        <v>5454357</v>
      </c>
      <c r="K68" s="5">
        <v>50459</v>
      </c>
      <c r="L68" s="5">
        <v>15091988</v>
      </c>
      <c r="M68" s="5">
        <v>57943</v>
      </c>
      <c r="N68" s="7" t="s">
        <v>323</v>
      </c>
      <c r="O68" s="7" t="s">
        <v>324</v>
      </c>
      <c r="P68" s="11">
        <v>45310</v>
      </c>
      <c r="Q68" s="2" t="str">
        <f t="shared" si="8"/>
        <v>45310早班本地一区</v>
      </c>
      <c r="R68" s="2">
        <f t="shared" si="9"/>
        <v>15091988</v>
      </c>
      <c r="S68" s="2">
        <f t="shared" si="9"/>
        <v>57943</v>
      </c>
      <c r="T68" s="2" t="str">
        <f t="shared" si="10"/>
        <v>45310本地一区-早班</v>
      </c>
      <c r="U68" s="2">
        <f t="shared" si="11"/>
        <v>3.8393199999999998E-3</v>
      </c>
      <c r="V68" s="2" t="str">
        <f t="shared" si="12"/>
        <v>林好男</v>
      </c>
    </row>
    <row r="69" spans="1:22" ht="16.5" x14ac:dyDescent="0.4">
      <c r="A69" s="4" t="s">
        <v>93</v>
      </c>
      <c r="B69" s="70" t="s">
        <v>105</v>
      </c>
      <c r="C69" s="4" t="s">
        <v>122</v>
      </c>
      <c r="D69" s="4">
        <v>161</v>
      </c>
      <c r="E69" s="4">
        <v>108</v>
      </c>
      <c r="F69" s="5">
        <v>31855</v>
      </c>
      <c r="G69" s="5">
        <v>93717</v>
      </c>
      <c r="H69" s="6">
        <v>-61862</v>
      </c>
      <c r="I69" s="4" t="s">
        <v>101</v>
      </c>
      <c r="J69" s="5">
        <v>2979037</v>
      </c>
      <c r="K69" s="5">
        <v>31855</v>
      </c>
      <c r="L69" s="5">
        <v>9580472</v>
      </c>
      <c r="M69" s="5">
        <v>35088</v>
      </c>
      <c r="N69" s="7" t="s">
        <v>276</v>
      </c>
      <c r="O69" s="7" t="s">
        <v>325</v>
      </c>
      <c r="P69" s="11">
        <v>45310</v>
      </c>
      <c r="Q69" s="2" t="str">
        <f t="shared" si="8"/>
        <v>45310早班本地二区</v>
      </c>
      <c r="R69" s="2">
        <f t="shared" si="9"/>
        <v>9580472</v>
      </c>
      <c r="S69" s="2">
        <f t="shared" si="9"/>
        <v>35088</v>
      </c>
      <c r="T69" s="2" t="str">
        <f t="shared" si="10"/>
        <v>45310本地二区-早班</v>
      </c>
      <c r="U69" s="2">
        <f t="shared" si="11"/>
        <v>3.6624499999999998E-3</v>
      </c>
      <c r="V69" s="2" t="str">
        <f t="shared" si="12"/>
        <v>赵依然</v>
      </c>
    </row>
    <row r="70" spans="1:22" ht="16.5" x14ac:dyDescent="0.4">
      <c r="A70" s="4" t="s">
        <v>92</v>
      </c>
      <c r="B70" s="70" t="s">
        <v>104</v>
      </c>
      <c r="C70" s="4" t="s">
        <v>158</v>
      </c>
      <c r="D70" s="4">
        <v>179</v>
      </c>
      <c r="E70" s="4">
        <v>120</v>
      </c>
      <c r="F70" s="5">
        <v>45284</v>
      </c>
      <c r="G70" s="5">
        <v>115970</v>
      </c>
      <c r="H70" s="6">
        <v>-70686</v>
      </c>
      <c r="I70" s="4" t="s">
        <v>101</v>
      </c>
      <c r="J70" s="5">
        <v>2448039</v>
      </c>
      <c r="K70" s="5">
        <v>45284</v>
      </c>
      <c r="L70" s="5">
        <v>10455658</v>
      </c>
      <c r="M70" s="5">
        <v>52723</v>
      </c>
      <c r="N70" s="7" t="s">
        <v>164</v>
      </c>
      <c r="O70" s="7" t="s">
        <v>326</v>
      </c>
      <c r="P70" s="11">
        <v>45310</v>
      </c>
      <c r="Q70" s="2" t="str">
        <f t="shared" si="8"/>
        <v>45310下午班本地一区</v>
      </c>
      <c r="R70" s="2">
        <f t="shared" si="9"/>
        <v>10455658</v>
      </c>
      <c r="S70" s="2">
        <f t="shared" si="9"/>
        <v>52723</v>
      </c>
      <c r="T70" s="2" t="str">
        <f t="shared" si="10"/>
        <v>45310本地一区-下午班</v>
      </c>
      <c r="U70" s="2">
        <f t="shared" si="11"/>
        <v>5.0425299999999999E-3</v>
      </c>
      <c r="V70" s="2" t="str">
        <f t="shared" si="12"/>
        <v>李晓晗</v>
      </c>
    </row>
    <row r="71" spans="1:22" ht="16.5" x14ac:dyDescent="0.4">
      <c r="A71" s="4" t="s">
        <v>92</v>
      </c>
      <c r="B71" s="70" t="s">
        <v>105</v>
      </c>
      <c r="C71" s="4" t="s">
        <v>110</v>
      </c>
      <c r="D71" s="4">
        <v>221</v>
      </c>
      <c r="E71" s="4">
        <v>143</v>
      </c>
      <c r="F71" s="5">
        <v>43679</v>
      </c>
      <c r="G71" s="5">
        <v>93717</v>
      </c>
      <c r="H71" s="6">
        <v>-50038</v>
      </c>
      <c r="I71" s="4" t="s">
        <v>101</v>
      </c>
      <c r="J71" s="5">
        <v>3150013</v>
      </c>
      <c r="K71" s="5">
        <v>43679</v>
      </c>
      <c r="L71" s="5">
        <v>11593165</v>
      </c>
      <c r="M71" s="5">
        <v>51134</v>
      </c>
      <c r="N71" s="7" t="s">
        <v>327</v>
      </c>
      <c r="O71" s="7" t="s">
        <v>328</v>
      </c>
      <c r="P71" s="11">
        <v>45310</v>
      </c>
      <c r="Q71" s="2" t="str">
        <f t="shared" si="8"/>
        <v>45310下午班本地二区</v>
      </c>
      <c r="R71" s="2">
        <f t="shared" si="9"/>
        <v>11593165</v>
      </c>
      <c r="S71" s="2">
        <f t="shared" si="9"/>
        <v>51134</v>
      </c>
      <c r="T71" s="2" t="str">
        <f t="shared" si="10"/>
        <v>45310本地二区-下午班</v>
      </c>
      <c r="U71" s="2">
        <f t="shared" si="11"/>
        <v>4.4107E-3</v>
      </c>
      <c r="V71" s="2" t="str">
        <f t="shared" si="12"/>
        <v>赵勇</v>
      </c>
    </row>
    <row r="72" spans="1:22" ht="16.5" x14ac:dyDescent="0.4">
      <c r="A72" s="4" t="s">
        <v>93</v>
      </c>
      <c r="B72" s="70" t="s">
        <v>104</v>
      </c>
      <c r="C72" s="4" t="s">
        <v>133</v>
      </c>
      <c r="D72" s="4">
        <v>143</v>
      </c>
      <c r="E72" s="4">
        <v>101</v>
      </c>
      <c r="F72" s="5">
        <v>38285</v>
      </c>
      <c r="G72" s="5">
        <v>115970</v>
      </c>
      <c r="H72" s="6">
        <v>-77685</v>
      </c>
      <c r="I72" s="4" t="s">
        <v>101</v>
      </c>
      <c r="J72" s="5">
        <v>2409593</v>
      </c>
      <c r="K72" s="5">
        <v>38285</v>
      </c>
      <c r="L72" s="5">
        <v>10248713</v>
      </c>
      <c r="M72" s="5">
        <v>42282</v>
      </c>
      <c r="N72" s="7" t="s">
        <v>329</v>
      </c>
      <c r="O72" s="7" t="s">
        <v>330</v>
      </c>
      <c r="P72" s="11">
        <v>45311</v>
      </c>
      <c r="Q72" s="2" t="str">
        <f t="shared" si="8"/>
        <v>45311早班本地一区</v>
      </c>
      <c r="R72" s="2">
        <f t="shared" si="9"/>
        <v>10248713</v>
      </c>
      <c r="S72" s="2">
        <f t="shared" si="9"/>
        <v>42282</v>
      </c>
      <c r="T72" s="2" t="str">
        <f t="shared" si="10"/>
        <v>45311本地一区-早班</v>
      </c>
      <c r="U72" s="2">
        <f t="shared" si="11"/>
        <v>4.1255900000000002E-3</v>
      </c>
      <c r="V72" s="2" t="str">
        <f t="shared" si="12"/>
        <v>林好男</v>
      </c>
    </row>
    <row r="73" spans="1:22" ht="16.5" x14ac:dyDescent="0.4">
      <c r="A73" s="4" t="s">
        <v>93</v>
      </c>
      <c r="B73" s="70" t="s">
        <v>105</v>
      </c>
      <c r="C73" s="4" t="s">
        <v>122</v>
      </c>
      <c r="D73" s="4">
        <v>171</v>
      </c>
      <c r="E73" s="4">
        <v>104</v>
      </c>
      <c r="F73" s="5">
        <v>31549</v>
      </c>
      <c r="G73" s="5">
        <v>93717</v>
      </c>
      <c r="H73" s="6">
        <v>-62168</v>
      </c>
      <c r="I73" s="4" t="s">
        <v>101</v>
      </c>
      <c r="J73" s="5">
        <v>4343944</v>
      </c>
      <c r="K73" s="5">
        <v>31549</v>
      </c>
      <c r="L73" s="5">
        <v>13506678</v>
      </c>
      <c r="M73" s="5">
        <v>34356</v>
      </c>
      <c r="N73" s="7" t="s">
        <v>185</v>
      </c>
      <c r="O73" s="7" t="s">
        <v>331</v>
      </c>
      <c r="P73" s="11">
        <v>45311</v>
      </c>
      <c r="Q73" s="2" t="str">
        <f t="shared" si="8"/>
        <v>45311早班本地二区</v>
      </c>
      <c r="R73" s="2">
        <f t="shared" si="9"/>
        <v>13506678</v>
      </c>
      <c r="S73" s="2">
        <f t="shared" si="9"/>
        <v>34356</v>
      </c>
      <c r="T73" s="2" t="str">
        <f t="shared" si="10"/>
        <v>45311本地二区-早班</v>
      </c>
      <c r="U73" s="2">
        <f t="shared" si="11"/>
        <v>2.5436299999999998E-3</v>
      </c>
      <c r="V73" s="2" t="str">
        <f t="shared" si="12"/>
        <v>赵依然</v>
      </c>
    </row>
    <row r="74" spans="1:22" ht="16.5" x14ac:dyDescent="0.4">
      <c r="A74" s="4" t="s">
        <v>92</v>
      </c>
      <c r="B74" s="70" t="s">
        <v>178</v>
      </c>
      <c r="C74" s="4" t="s">
        <v>158</v>
      </c>
      <c r="D74" s="4">
        <v>176</v>
      </c>
      <c r="E74" s="4">
        <v>115</v>
      </c>
      <c r="F74" s="5">
        <v>72402</v>
      </c>
      <c r="G74" s="5">
        <v>209686</v>
      </c>
      <c r="H74" s="6">
        <v>-137284</v>
      </c>
      <c r="I74" s="4" t="s">
        <v>101</v>
      </c>
      <c r="J74" s="5">
        <v>5395919</v>
      </c>
      <c r="K74" s="5">
        <v>72402</v>
      </c>
      <c r="L74" s="5">
        <v>13219763</v>
      </c>
      <c r="M74" s="5">
        <v>80106</v>
      </c>
      <c r="N74" s="7" t="s">
        <v>332</v>
      </c>
      <c r="O74" s="7" t="s">
        <v>333</v>
      </c>
      <c r="P74" s="11">
        <v>45311</v>
      </c>
      <c r="Q74" s="2" t="str">
        <f t="shared" si="8"/>
        <v>45311下午班本地所有</v>
      </c>
      <c r="R74" s="2">
        <f t="shared" si="9"/>
        <v>13219763</v>
      </c>
      <c r="S74" s="2">
        <f t="shared" si="9"/>
        <v>80106</v>
      </c>
      <c r="T74" s="2" t="str">
        <f t="shared" si="10"/>
        <v>45311本地所有-下午班</v>
      </c>
      <c r="U74" s="2">
        <f t="shared" si="11"/>
        <v>6.0595600000000003E-3</v>
      </c>
      <c r="V74" s="2" t="str">
        <f t="shared" si="12"/>
        <v>李晓晗</v>
      </c>
    </row>
    <row r="75" spans="1:22" ht="16.5" x14ac:dyDescent="0.4">
      <c r="A75" s="4" t="s">
        <v>93</v>
      </c>
      <c r="B75" s="70" t="s">
        <v>104</v>
      </c>
      <c r="C75" s="4" t="s">
        <v>122</v>
      </c>
      <c r="D75" s="4">
        <v>164</v>
      </c>
      <c r="E75" s="4">
        <v>102</v>
      </c>
      <c r="F75" s="5">
        <v>41171</v>
      </c>
      <c r="G75" s="5">
        <v>115970</v>
      </c>
      <c r="H75" s="6">
        <v>-74799</v>
      </c>
      <c r="I75" s="4" t="s">
        <v>101</v>
      </c>
      <c r="J75" s="5">
        <v>4464024</v>
      </c>
      <c r="K75" s="5">
        <v>41171</v>
      </c>
      <c r="L75" s="5">
        <v>13473824</v>
      </c>
      <c r="M75" s="5">
        <v>45897</v>
      </c>
      <c r="N75" s="7" t="s">
        <v>167</v>
      </c>
      <c r="O75" s="7" t="s">
        <v>335</v>
      </c>
      <c r="P75" s="11">
        <v>45312</v>
      </c>
      <c r="Q75" s="2" t="str">
        <f t="shared" si="8"/>
        <v>45312早班本地一区</v>
      </c>
      <c r="R75" s="2">
        <f t="shared" si="9"/>
        <v>13473824</v>
      </c>
      <c r="S75" s="2">
        <f t="shared" si="9"/>
        <v>45897</v>
      </c>
      <c r="T75" s="2" t="str">
        <f t="shared" si="10"/>
        <v>45312本地一区-早班</v>
      </c>
      <c r="U75" s="2">
        <f t="shared" si="11"/>
        <v>3.4063800000000001E-3</v>
      </c>
      <c r="V75" s="2" t="str">
        <f t="shared" si="12"/>
        <v>赵依然</v>
      </c>
    </row>
    <row r="76" spans="1:22" ht="16.5" x14ac:dyDescent="0.4">
      <c r="A76" s="4" t="s">
        <v>93</v>
      </c>
      <c r="B76" s="70" t="s">
        <v>105</v>
      </c>
      <c r="C76" s="4" t="s">
        <v>110</v>
      </c>
      <c r="D76" s="4">
        <v>194</v>
      </c>
      <c r="E76" s="4">
        <v>133</v>
      </c>
      <c r="F76" s="5">
        <v>36568</v>
      </c>
      <c r="G76" s="5">
        <v>93717</v>
      </c>
      <c r="H76" s="6">
        <v>-57149</v>
      </c>
      <c r="I76" s="4" t="s">
        <v>101</v>
      </c>
      <c r="J76" s="5">
        <v>3394131</v>
      </c>
      <c r="K76" s="5">
        <v>36568</v>
      </c>
      <c r="L76" s="5">
        <v>11503763</v>
      </c>
      <c r="M76" s="5">
        <v>41162</v>
      </c>
      <c r="N76" s="7" t="s">
        <v>114</v>
      </c>
      <c r="O76" s="7" t="s">
        <v>336</v>
      </c>
      <c r="P76" s="11">
        <v>45312</v>
      </c>
      <c r="Q76" s="2" t="str">
        <f t="shared" si="8"/>
        <v>45312早班本地二区</v>
      </c>
      <c r="R76" s="2">
        <f t="shared" si="9"/>
        <v>11503763</v>
      </c>
      <c r="S76" s="2">
        <f t="shared" si="9"/>
        <v>41162</v>
      </c>
      <c r="T76" s="2" t="str">
        <f t="shared" si="10"/>
        <v>45312本地二区-早班</v>
      </c>
      <c r="U76" s="2">
        <f t="shared" si="11"/>
        <v>3.5781300000000001E-3</v>
      </c>
      <c r="V76" s="2" t="str">
        <f t="shared" si="12"/>
        <v>赵勇</v>
      </c>
    </row>
    <row r="77" spans="1:22" ht="16.5" x14ac:dyDescent="0.4">
      <c r="A77" s="4" t="s">
        <v>92</v>
      </c>
      <c r="B77" s="70" t="s">
        <v>178</v>
      </c>
      <c r="C77" s="4" t="s">
        <v>111</v>
      </c>
      <c r="D77" s="4">
        <v>161</v>
      </c>
      <c r="E77" s="4">
        <v>115</v>
      </c>
      <c r="F77" s="5">
        <v>67868</v>
      </c>
      <c r="G77" s="5">
        <v>209686</v>
      </c>
      <c r="H77" s="6">
        <v>-141818</v>
      </c>
      <c r="I77" s="4" t="s">
        <v>101</v>
      </c>
      <c r="J77" s="5">
        <v>7702464</v>
      </c>
      <c r="K77" s="5">
        <v>67868</v>
      </c>
      <c r="L77" s="5">
        <v>16464625</v>
      </c>
      <c r="M77" s="5">
        <v>72233</v>
      </c>
      <c r="N77" s="7" t="s">
        <v>334</v>
      </c>
      <c r="O77" s="7" t="s">
        <v>337</v>
      </c>
      <c r="P77" s="11">
        <v>45312</v>
      </c>
      <c r="Q77" s="2" t="str">
        <f t="shared" si="8"/>
        <v>45312下午班本地所有</v>
      </c>
      <c r="R77" s="2">
        <f t="shared" si="9"/>
        <v>16464625</v>
      </c>
      <c r="S77" s="2">
        <f t="shared" si="9"/>
        <v>72233</v>
      </c>
      <c r="T77" s="2" t="str">
        <f t="shared" si="10"/>
        <v>45312本地所有-下午班</v>
      </c>
      <c r="U77" s="2">
        <f t="shared" si="11"/>
        <v>4.3871600000000002E-3</v>
      </c>
      <c r="V77" s="2" t="str">
        <f t="shared" si="12"/>
        <v>陈楠</v>
      </c>
    </row>
    <row r="78" spans="1:22" ht="16.5" x14ac:dyDescent="0.4">
      <c r="A78" s="4" t="s">
        <v>93</v>
      </c>
      <c r="B78" s="70" t="s">
        <v>104</v>
      </c>
      <c r="C78" s="4" t="s">
        <v>110</v>
      </c>
      <c r="D78" s="4">
        <v>169</v>
      </c>
      <c r="E78" s="4">
        <v>124</v>
      </c>
      <c r="F78" s="5">
        <v>45300</v>
      </c>
      <c r="G78" s="5">
        <v>115970</v>
      </c>
      <c r="H78" s="6">
        <v>-70670</v>
      </c>
      <c r="I78" s="4" t="s">
        <v>101</v>
      </c>
      <c r="J78" s="5">
        <v>3902789</v>
      </c>
      <c r="K78" s="5">
        <v>45300</v>
      </c>
      <c r="L78" s="5">
        <v>13160388</v>
      </c>
      <c r="M78" s="5">
        <v>51214</v>
      </c>
      <c r="N78" s="7" t="s">
        <v>128</v>
      </c>
      <c r="O78" s="7" t="s">
        <v>338</v>
      </c>
      <c r="P78" s="11">
        <v>45313</v>
      </c>
      <c r="Q78" s="2" t="str">
        <f t="shared" si="8"/>
        <v>45313早班本地一区</v>
      </c>
      <c r="R78" s="2">
        <f t="shared" si="9"/>
        <v>13160388</v>
      </c>
      <c r="S78" s="2">
        <f t="shared" si="9"/>
        <v>51214</v>
      </c>
      <c r="T78" s="2" t="str">
        <f t="shared" si="10"/>
        <v>45313本地一区-早班</v>
      </c>
      <c r="U78" s="2">
        <f t="shared" si="11"/>
        <v>3.8915299999999998E-3</v>
      </c>
      <c r="V78" s="2" t="str">
        <f t="shared" si="12"/>
        <v>赵勇</v>
      </c>
    </row>
    <row r="79" spans="1:22" ht="16.5" x14ac:dyDescent="0.4">
      <c r="A79" s="4" t="s">
        <v>93</v>
      </c>
      <c r="B79" s="70" t="s">
        <v>105</v>
      </c>
      <c r="C79" s="4" t="s">
        <v>133</v>
      </c>
      <c r="D79" s="4">
        <v>146</v>
      </c>
      <c r="E79" s="4">
        <v>99</v>
      </c>
      <c r="F79" s="5">
        <v>29856</v>
      </c>
      <c r="G79" s="5">
        <v>93717</v>
      </c>
      <c r="H79" s="6">
        <v>-63861</v>
      </c>
      <c r="I79" s="4" t="s">
        <v>101</v>
      </c>
      <c r="J79" s="5">
        <v>1327718</v>
      </c>
      <c r="K79" s="5">
        <v>29856</v>
      </c>
      <c r="L79" s="5">
        <v>7528445</v>
      </c>
      <c r="M79" s="5">
        <v>33395</v>
      </c>
      <c r="N79" s="7" t="s">
        <v>339</v>
      </c>
      <c r="O79" s="7" t="s">
        <v>340</v>
      </c>
      <c r="P79" s="11">
        <v>45313</v>
      </c>
      <c r="Q79" s="2" t="str">
        <f t="shared" si="8"/>
        <v>45313早班本地二区</v>
      </c>
      <c r="R79" s="2">
        <f t="shared" si="9"/>
        <v>7528445</v>
      </c>
      <c r="S79" s="2">
        <f t="shared" si="9"/>
        <v>33395</v>
      </c>
      <c r="T79" s="2" t="str">
        <f t="shared" si="10"/>
        <v>45313本地二区-早班</v>
      </c>
      <c r="U79" s="2">
        <f t="shared" si="11"/>
        <v>4.4358399999999999E-3</v>
      </c>
      <c r="V79" s="2" t="str">
        <f t="shared" si="12"/>
        <v>林好男</v>
      </c>
    </row>
    <row r="80" spans="1:22" ht="16.5" x14ac:dyDescent="0.4">
      <c r="A80" s="4" t="s">
        <v>92</v>
      </c>
      <c r="B80" s="70" t="s">
        <v>178</v>
      </c>
      <c r="C80" s="4" t="s">
        <v>111</v>
      </c>
      <c r="D80" s="4">
        <v>172</v>
      </c>
      <c r="E80" s="4">
        <v>121</v>
      </c>
      <c r="F80" s="5">
        <v>71175</v>
      </c>
      <c r="G80" s="5">
        <v>209686</v>
      </c>
      <c r="H80" s="6">
        <v>-138511</v>
      </c>
      <c r="I80" s="4" t="s">
        <v>101</v>
      </c>
      <c r="J80" s="5">
        <v>8528290</v>
      </c>
      <c r="K80" s="5">
        <v>71175</v>
      </c>
      <c r="L80" s="5">
        <v>18556041</v>
      </c>
      <c r="M80" s="5">
        <v>76601</v>
      </c>
      <c r="N80" s="7" t="s">
        <v>166</v>
      </c>
      <c r="O80" s="7" t="s">
        <v>341</v>
      </c>
      <c r="P80" s="11">
        <v>45313</v>
      </c>
      <c r="Q80" s="2" t="str">
        <f t="shared" si="8"/>
        <v>45313下午班本地所有</v>
      </c>
      <c r="R80" s="2">
        <f t="shared" si="9"/>
        <v>18556041</v>
      </c>
      <c r="S80" s="2">
        <f t="shared" si="9"/>
        <v>76601</v>
      </c>
      <c r="T80" s="2" t="str">
        <f t="shared" si="10"/>
        <v>45313本地所有-下午班</v>
      </c>
      <c r="U80" s="2">
        <f t="shared" si="11"/>
        <v>4.1280900000000001E-3</v>
      </c>
      <c r="V80" s="2" t="str">
        <f t="shared" si="12"/>
        <v>陈楠</v>
      </c>
    </row>
    <row r="81" spans="1:22" ht="16.5" x14ac:dyDescent="0.4">
      <c r="A81" s="4" t="s">
        <v>93</v>
      </c>
      <c r="B81" s="70" t="s">
        <v>104</v>
      </c>
      <c r="C81" s="4" t="s">
        <v>110</v>
      </c>
      <c r="D81" s="4">
        <v>187</v>
      </c>
      <c r="E81" s="4">
        <v>128</v>
      </c>
      <c r="F81" s="5">
        <v>43378</v>
      </c>
      <c r="G81" s="5">
        <v>115970</v>
      </c>
      <c r="H81" s="6">
        <v>-72592</v>
      </c>
      <c r="I81" s="4" t="s">
        <v>101</v>
      </c>
      <c r="J81" s="5">
        <v>956586</v>
      </c>
      <c r="K81" s="5">
        <v>43378</v>
      </c>
      <c r="L81" s="5">
        <v>10903278</v>
      </c>
      <c r="M81" s="5">
        <v>50395</v>
      </c>
      <c r="N81" s="7" t="s">
        <v>343</v>
      </c>
      <c r="O81" s="7" t="s">
        <v>344</v>
      </c>
      <c r="P81" s="11">
        <v>45314</v>
      </c>
      <c r="Q81" s="2" t="str">
        <f t="shared" si="8"/>
        <v>45314早班本地一区</v>
      </c>
      <c r="R81" s="2">
        <f t="shared" si="9"/>
        <v>10903278</v>
      </c>
      <c r="S81" s="2">
        <f t="shared" si="9"/>
        <v>50395</v>
      </c>
      <c r="T81" s="2" t="str">
        <f t="shared" si="10"/>
        <v>45314本地一区-早班</v>
      </c>
      <c r="U81" s="2">
        <f t="shared" si="11"/>
        <v>4.6220000000000002E-3</v>
      </c>
      <c r="V81" s="2" t="str">
        <f t="shared" si="12"/>
        <v>赵勇</v>
      </c>
    </row>
    <row r="82" spans="1:22" ht="16.5" x14ac:dyDescent="0.4">
      <c r="A82" s="4" t="s">
        <v>93</v>
      </c>
      <c r="B82" s="70" t="s">
        <v>105</v>
      </c>
      <c r="C82" s="4" t="s">
        <v>122</v>
      </c>
      <c r="D82" s="4">
        <v>180</v>
      </c>
      <c r="E82" s="4">
        <v>106</v>
      </c>
      <c r="F82" s="5">
        <v>29559</v>
      </c>
      <c r="G82" s="5">
        <v>93717</v>
      </c>
      <c r="H82" s="6">
        <v>-64158</v>
      </c>
      <c r="I82" s="4" t="s">
        <v>101</v>
      </c>
      <c r="J82" s="5">
        <v>760013</v>
      </c>
      <c r="K82" s="5">
        <v>29559</v>
      </c>
      <c r="L82" s="5">
        <v>7571736</v>
      </c>
      <c r="M82" s="5">
        <v>32991</v>
      </c>
      <c r="N82" s="7" t="s">
        <v>345</v>
      </c>
      <c r="O82" s="7" t="s">
        <v>346</v>
      </c>
      <c r="P82" s="11">
        <v>45314</v>
      </c>
      <c r="Q82" s="2" t="str">
        <f t="shared" si="8"/>
        <v>45314早班本地二区</v>
      </c>
      <c r="R82" s="2">
        <f t="shared" ref="R82:S97" si="13">L82</f>
        <v>7571736</v>
      </c>
      <c r="S82" s="2">
        <f t="shared" si="13"/>
        <v>32991</v>
      </c>
      <c r="T82" s="2" t="str">
        <f t="shared" si="10"/>
        <v>45314本地二区-早班</v>
      </c>
      <c r="U82" s="2">
        <f t="shared" si="11"/>
        <v>4.3571199999999999E-3</v>
      </c>
      <c r="V82" s="2" t="str">
        <f t="shared" si="12"/>
        <v>赵依然</v>
      </c>
    </row>
    <row r="83" spans="1:22" ht="16.5" x14ac:dyDescent="0.4">
      <c r="A83" s="4" t="s">
        <v>92</v>
      </c>
      <c r="B83" s="70" t="s">
        <v>104</v>
      </c>
      <c r="C83" s="4" t="s">
        <v>133</v>
      </c>
      <c r="D83" s="4">
        <v>180</v>
      </c>
      <c r="E83" s="4">
        <v>117</v>
      </c>
      <c r="F83" s="5">
        <v>43009</v>
      </c>
      <c r="G83" s="5">
        <v>115970</v>
      </c>
      <c r="H83" s="6">
        <v>-72961</v>
      </c>
      <c r="I83" s="4" t="s">
        <v>101</v>
      </c>
      <c r="J83" s="5">
        <v>1484037</v>
      </c>
      <c r="K83" s="5">
        <v>43009</v>
      </c>
      <c r="L83" s="5">
        <v>9158008</v>
      </c>
      <c r="M83" s="5">
        <v>52209</v>
      </c>
      <c r="N83" s="7" t="s">
        <v>347</v>
      </c>
      <c r="O83" s="7" t="s">
        <v>348</v>
      </c>
      <c r="P83" s="11">
        <v>45314</v>
      </c>
      <c r="Q83" s="2" t="str">
        <f t="shared" si="8"/>
        <v>45314下午班本地一区</v>
      </c>
      <c r="R83" s="2">
        <f t="shared" si="13"/>
        <v>9158008</v>
      </c>
      <c r="S83" s="2">
        <f t="shared" si="13"/>
        <v>52209</v>
      </c>
      <c r="T83" s="2" t="str">
        <f t="shared" si="10"/>
        <v>45314本地一区-下午班</v>
      </c>
      <c r="U83" s="2">
        <f t="shared" si="11"/>
        <v>5.70091E-3</v>
      </c>
      <c r="V83" s="2" t="str">
        <f t="shared" si="12"/>
        <v>林好男</v>
      </c>
    </row>
    <row r="84" spans="1:22" ht="16.5" x14ac:dyDescent="0.4">
      <c r="A84" s="4" t="s">
        <v>92</v>
      </c>
      <c r="B84" s="70" t="s">
        <v>105</v>
      </c>
      <c r="C84" s="4" t="s">
        <v>111</v>
      </c>
      <c r="D84" s="4">
        <v>156</v>
      </c>
      <c r="E84" s="4">
        <v>106</v>
      </c>
      <c r="F84" s="5">
        <v>34175</v>
      </c>
      <c r="G84" s="5">
        <v>93717</v>
      </c>
      <c r="H84" s="6">
        <v>-59542</v>
      </c>
      <c r="I84" s="4" t="s">
        <v>101</v>
      </c>
      <c r="J84" s="5">
        <v>2981120</v>
      </c>
      <c r="K84" s="5">
        <v>34175</v>
      </c>
      <c r="L84" s="5">
        <v>7781800</v>
      </c>
      <c r="M84" s="5">
        <v>37163</v>
      </c>
      <c r="N84" s="7" t="s">
        <v>342</v>
      </c>
      <c r="O84" s="7" t="s">
        <v>349</v>
      </c>
      <c r="P84" s="11">
        <v>45314</v>
      </c>
      <c r="Q84" s="2" t="str">
        <f t="shared" si="8"/>
        <v>45314下午班本地二区</v>
      </c>
      <c r="R84" s="2">
        <f t="shared" si="13"/>
        <v>7781800</v>
      </c>
      <c r="S84" s="2">
        <f t="shared" si="13"/>
        <v>37163</v>
      </c>
      <c r="T84" s="2" t="str">
        <f t="shared" si="10"/>
        <v>45314本地二区-下午班</v>
      </c>
      <c r="U84" s="2">
        <f t="shared" si="11"/>
        <v>4.7756300000000003E-3</v>
      </c>
      <c r="V84" s="2" t="str">
        <f t="shared" si="12"/>
        <v>陈楠</v>
      </c>
    </row>
    <row r="85" spans="1:22" ht="16.5" x14ac:dyDescent="0.4">
      <c r="A85" s="4" t="s">
        <v>93</v>
      </c>
      <c r="B85" s="70" t="s">
        <v>104</v>
      </c>
      <c r="C85" s="4" t="s">
        <v>110</v>
      </c>
      <c r="D85" s="4">
        <v>155</v>
      </c>
      <c r="E85" s="4">
        <v>120</v>
      </c>
      <c r="F85" s="5">
        <v>35696</v>
      </c>
      <c r="G85" s="5">
        <v>115970</v>
      </c>
      <c r="H85" s="6">
        <v>-80274</v>
      </c>
      <c r="I85" s="4" t="s">
        <v>101</v>
      </c>
      <c r="J85" s="5">
        <v>1130294</v>
      </c>
      <c r="K85" s="5">
        <v>35696</v>
      </c>
      <c r="L85" s="5">
        <v>10691796</v>
      </c>
      <c r="M85" s="5">
        <v>40548</v>
      </c>
      <c r="N85" s="7" t="s">
        <v>350</v>
      </c>
      <c r="O85" s="7" t="s">
        <v>351</v>
      </c>
      <c r="P85" s="11">
        <v>45315</v>
      </c>
      <c r="Q85" s="2" t="str">
        <f t="shared" si="8"/>
        <v>45315早班本地一区</v>
      </c>
      <c r="R85" s="2">
        <f t="shared" si="13"/>
        <v>10691796</v>
      </c>
      <c r="S85" s="2">
        <f t="shared" si="13"/>
        <v>40548</v>
      </c>
      <c r="T85" s="2" t="str">
        <f t="shared" si="10"/>
        <v>45315本地一区-早班</v>
      </c>
      <c r="U85" s="2">
        <f t="shared" si="11"/>
        <v>3.7924399999999998E-3</v>
      </c>
      <c r="V85" s="2" t="str">
        <f t="shared" si="12"/>
        <v>赵勇</v>
      </c>
    </row>
    <row r="86" spans="1:22" ht="16.5" x14ac:dyDescent="0.4">
      <c r="A86" s="4" t="s">
        <v>93</v>
      </c>
      <c r="B86" s="70" t="s">
        <v>105</v>
      </c>
      <c r="C86" s="4" t="s">
        <v>122</v>
      </c>
      <c r="D86" s="4">
        <v>176</v>
      </c>
      <c r="E86" s="4">
        <v>106</v>
      </c>
      <c r="F86" s="5">
        <v>28868</v>
      </c>
      <c r="G86" s="5">
        <v>93717</v>
      </c>
      <c r="H86" s="6">
        <v>-64849</v>
      </c>
      <c r="I86" s="4" t="s">
        <v>101</v>
      </c>
      <c r="J86" s="5">
        <v>1057949</v>
      </c>
      <c r="K86" s="5">
        <v>28868</v>
      </c>
      <c r="L86" s="5">
        <v>7949813</v>
      </c>
      <c r="M86" s="5">
        <v>31964</v>
      </c>
      <c r="N86" s="7" t="s">
        <v>352</v>
      </c>
      <c r="O86" s="7" t="s">
        <v>353</v>
      </c>
      <c r="P86" s="11">
        <v>45315</v>
      </c>
      <c r="Q86" s="2" t="str">
        <f t="shared" si="8"/>
        <v>45315早班本地二区</v>
      </c>
      <c r="R86" s="2">
        <f t="shared" si="13"/>
        <v>7949813</v>
      </c>
      <c r="S86" s="2">
        <f t="shared" si="13"/>
        <v>31964</v>
      </c>
      <c r="T86" s="2" t="str">
        <f t="shared" si="10"/>
        <v>45315本地二区-早班</v>
      </c>
      <c r="U86" s="2">
        <f t="shared" si="11"/>
        <v>4.0207200000000002E-3</v>
      </c>
      <c r="V86" s="2" t="str">
        <f t="shared" si="12"/>
        <v>赵依然</v>
      </c>
    </row>
    <row r="87" spans="1:22" ht="16.5" x14ac:dyDescent="0.4">
      <c r="A87" s="4" t="s">
        <v>92</v>
      </c>
      <c r="B87" s="70" t="s">
        <v>104</v>
      </c>
      <c r="C87" s="4" t="s">
        <v>133</v>
      </c>
      <c r="D87" s="4">
        <v>168</v>
      </c>
      <c r="E87" s="4">
        <v>132</v>
      </c>
      <c r="F87" s="5">
        <v>42950</v>
      </c>
      <c r="G87" s="5">
        <v>115970</v>
      </c>
      <c r="H87" s="6">
        <v>-73020</v>
      </c>
      <c r="I87" s="4" t="s">
        <v>101</v>
      </c>
      <c r="J87" s="5">
        <v>1835200</v>
      </c>
      <c r="K87" s="5">
        <v>42950</v>
      </c>
      <c r="L87" s="5">
        <v>9907096</v>
      </c>
      <c r="M87" s="5">
        <v>51037</v>
      </c>
      <c r="N87" s="7" t="s">
        <v>354</v>
      </c>
      <c r="O87" s="7" t="s">
        <v>355</v>
      </c>
      <c r="P87" s="11">
        <v>45315</v>
      </c>
      <c r="Q87" s="2" t="str">
        <f t="shared" si="8"/>
        <v>45315下午班本地一区</v>
      </c>
      <c r="R87" s="2">
        <f t="shared" si="13"/>
        <v>9907096</v>
      </c>
      <c r="S87" s="2">
        <f t="shared" si="13"/>
        <v>51037</v>
      </c>
      <c r="T87" s="2" t="str">
        <f t="shared" si="10"/>
        <v>45315本地一区-下午班</v>
      </c>
      <c r="U87" s="2">
        <f t="shared" si="11"/>
        <v>5.1515600000000003E-3</v>
      </c>
      <c r="V87" s="2" t="str">
        <f t="shared" si="12"/>
        <v>林好男</v>
      </c>
    </row>
    <row r="88" spans="1:22" ht="16.5" x14ac:dyDescent="0.4">
      <c r="A88" s="4" t="s">
        <v>92</v>
      </c>
      <c r="B88" s="70" t="s">
        <v>105</v>
      </c>
      <c r="C88" s="4" t="s">
        <v>158</v>
      </c>
      <c r="D88" s="4">
        <v>153</v>
      </c>
      <c r="E88" s="4">
        <v>102</v>
      </c>
      <c r="F88" s="5">
        <v>33758</v>
      </c>
      <c r="G88" s="5">
        <v>93717</v>
      </c>
      <c r="H88" s="6">
        <v>-59959</v>
      </c>
      <c r="I88" s="4" t="s">
        <v>101</v>
      </c>
      <c r="J88" s="5">
        <v>2436612</v>
      </c>
      <c r="K88" s="5">
        <v>33758</v>
      </c>
      <c r="L88" s="5">
        <v>7659251</v>
      </c>
      <c r="M88" s="5">
        <v>38652</v>
      </c>
      <c r="N88" s="7" t="s">
        <v>327</v>
      </c>
      <c r="O88" s="7" t="s">
        <v>356</v>
      </c>
      <c r="P88" s="11">
        <v>45315</v>
      </c>
      <c r="Q88" s="2" t="str">
        <f t="shared" si="8"/>
        <v>45315下午班本地二区</v>
      </c>
      <c r="R88" s="2">
        <f t="shared" si="13"/>
        <v>7659251</v>
      </c>
      <c r="S88" s="2">
        <f t="shared" si="13"/>
        <v>38652</v>
      </c>
      <c r="T88" s="2" t="str">
        <f t="shared" si="10"/>
        <v>45315本地二区-下午班</v>
      </c>
      <c r="U88" s="2">
        <f t="shared" si="11"/>
        <v>5.0464500000000001E-3</v>
      </c>
      <c r="V88" s="2" t="str">
        <f t="shared" si="12"/>
        <v>李晓晗</v>
      </c>
    </row>
    <row r="89" spans="1:22" ht="16.5" x14ac:dyDescent="0.4">
      <c r="A89" s="4" t="s">
        <v>93</v>
      </c>
      <c r="B89" s="70" t="s">
        <v>104</v>
      </c>
      <c r="C89" s="4" t="s">
        <v>110</v>
      </c>
      <c r="D89" s="4">
        <v>162</v>
      </c>
      <c r="E89" s="4">
        <v>122</v>
      </c>
      <c r="F89" s="5">
        <v>37200</v>
      </c>
      <c r="G89" s="5">
        <v>115970</v>
      </c>
      <c r="H89" s="6">
        <v>-78770</v>
      </c>
      <c r="I89" s="4" t="s">
        <v>101</v>
      </c>
      <c r="J89" s="5">
        <v>1234158</v>
      </c>
      <c r="K89" s="5">
        <v>37200</v>
      </c>
      <c r="L89" s="5">
        <v>11414686</v>
      </c>
      <c r="M89" s="5">
        <v>42036</v>
      </c>
      <c r="N89" s="7" t="s">
        <v>357</v>
      </c>
      <c r="O89" s="7" t="s">
        <v>358</v>
      </c>
      <c r="P89" s="11">
        <v>45316</v>
      </c>
      <c r="Q89" s="2" t="str">
        <f t="shared" si="8"/>
        <v>45316早班本地一区</v>
      </c>
      <c r="R89" s="2">
        <f t="shared" si="13"/>
        <v>11414686</v>
      </c>
      <c r="S89" s="2">
        <f t="shared" si="13"/>
        <v>42036</v>
      </c>
      <c r="T89" s="2" t="str">
        <f t="shared" si="10"/>
        <v>45316本地一区-早班</v>
      </c>
      <c r="U89" s="2">
        <f t="shared" si="11"/>
        <v>3.6826200000000002E-3</v>
      </c>
      <c r="V89" s="2" t="str">
        <f t="shared" si="12"/>
        <v>赵勇</v>
      </c>
    </row>
    <row r="90" spans="1:22" ht="16.5" x14ac:dyDescent="0.4">
      <c r="A90" s="4" t="s">
        <v>93</v>
      </c>
      <c r="B90" s="70" t="s">
        <v>105</v>
      </c>
      <c r="C90" s="4" t="s">
        <v>111</v>
      </c>
      <c r="D90" s="4">
        <v>153</v>
      </c>
      <c r="E90" s="4">
        <v>100</v>
      </c>
      <c r="F90" s="5">
        <v>36315</v>
      </c>
      <c r="G90" s="5">
        <v>93717</v>
      </c>
      <c r="H90" s="6">
        <v>-57402</v>
      </c>
      <c r="I90" s="4" t="s">
        <v>101</v>
      </c>
      <c r="J90" s="5">
        <v>6853877</v>
      </c>
      <c r="K90" s="5">
        <v>36315</v>
      </c>
      <c r="L90" s="5">
        <v>11275725</v>
      </c>
      <c r="M90" s="5">
        <v>38049</v>
      </c>
      <c r="N90" s="7" t="s">
        <v>283</v>
      </c>
      <c r="O90" s="7" t="s">
        <v>359</v>
      </c>
      <c r="P90" s="11">
        <v>45316</v>
      </c>
      <c r="Q90" s="2" t="str">
        <f t="shared" si="8"/>
        <v>45316早班本地二区</v>
      </c>
      <c r="R90" s="2">
        <f t="shared" si="13"/>
        <v>11275725</v>
      </c>
      <c r="S90" s="2">
        <f t="shared" si="13"/>
        <v>38049</v>
      </c>
      <c r="T90" s="2" t="str">
        <f t="shared" si="10"/>
        <v>45316本地二区-早班</v>
      </c>
      <c r="U90" s="2">
        <f t="shared" si="11"/>
        <v>3.3744199999999999E-3</v>
      </c>
      <c r="V90" s="2" t="str">
        <f t="shared" si="12"/>
        <v>陈楠</v>
      </c>
    </row>
    <row r="91" spans="1:22" ht="16.5" x14ac:dyDescent="0.4">
      <c r="A91" s="4" t="s">
        <v>92</v>
      </c>
      <c r="B91" s="70" t="s">
        <v>104</v>
      </c>
      <c r="C91" s="4" t="s">
        <v>122</v>
      </c>
      <c r="D91" s="4">
        <v>148</v>
      </c>
      <c r="E91" s="4">
        <v>106</v>
      </c>
      <c r="F91" s="5">
        <v>48359</v>
      </c>
      <c r="G91" s="5">
        <v>115970</v>
      </c>
      <c r="H91" s="6">
        <v>-67611</v>
      </c>
      <c r="I91" s="4" t="s">
        <v>101</v>
      </c>
      <c r="J91" s="5">
        <v>3310754</v>
      </c>
      <c r="K91" s="5">
        <v>48359</v>
      </c>
      <c r="L91" s="5">
        <v>11875679</v>
      </c>
      <c r="M91" s="5">
        <v>57681</v>
      </c>
      <c r="N91" s="7" t="s">
        <v>360</v>
      </c>
      <c r="O91" s="7" t="s">
        <v>361</v>
      </c>
      <c r="P91" s="11">
        <v>45316</v>
      </c>
      <c r="Q91" s="2" t="str">
        <f t="shared" si="8"/>
        <v>45316下午班本地一区</v>
      </c>
      <c r="R91" s="2">
        <f t="shared" si="13"/>
        <v>11875679</v>
      </c>
      <c r="S91" s="2">
        <f t="shared" si="13"/>
        <v>57681</v>
      </c>
      <c r="T91" s="2" t="str">
        <f t="shared" si="10"/>
        <v>45316本地一区-下午班</v>
      </c>
      <c r="U91" s="2">
        <f t="shared" si="11"/>
        <v>4.8570699999999998E-3</v>
      </c>
      <c r="V91" s="2" t="str">
        <f t="shared" si="12"/>
        <v>赵依然</v>
      </c>
    </row>
    <row r="92" spans="1:22" ht="16.5" x14ac:dyDescent="0.4">
      <c r="A92" s="4" t="s">
        <v>92</v>
      </c>
      <c r="B92" s="70" t="s">
        <v>105</v>
      </c>
      <c r="C92" s="4" t="s">
        <v>158</v>
      </c>
      <c r="D92" s="4">
        <v>162</v>
      </c>
      <c r="E92" s="4">
        <v>103</v>
      </c>
      <c r="F92" s="5">
        <v>38641</v>
      </c>
      <c r="G92" s="5">
        <v>93717</v>
      </c>
      <c r="H92" s="6">
        <v>-55076</v>
      </c>
      <c r="I92" s="4" t="s">
        <v>101</v>
      </c>
      <c r="J92" s="5">
        <v>2525646</v>
      </c>
      <c r="K92" s="5">
        <v>38641</v>
      </c>
      <c r="L92" s="5">
        <v>8177405</v>
      </c>
      <c r="M92" s="5">
        <v>44757</v>
      </c>
      <c r="N92" s="7" t="s">
        <v>362</v>
      </c>
      <c r="O92" s="7" t="s">
        <v>363</v>
      </c>
      <c r="P92" s="11">
        <v>45316</v>
      </c>
      <c r="Q92" s="2" t="str">
        <f t="shared" si="8"/>
        <v>45316下午班本地二区</v>
      </c>
      <c r="R92" s="2">
        <f t="shared" si="13"/>
        <v>8177405</v>
      </c>
      <c r="S92" s="2">
        <f t="shared" si="13"/>
        <v>44757</v>
      </c>
      <c r="T92" s="2" t="str">
        <f t="shared" si="10"/>
        <v>45316本地二区-下午班</v>
      </c>
      <c r="U92" s="2">
        <f t="shared" si="11"/>
        <v>5.4732499999999998E-3</v>
      </c>
      <c r="V92" s="2" t="str">
        <f t="shared" si="12"/>
        <v>李晓晗</v>
      </c>
    </row>
    <row r="93" spans="1:22" ht="16.5" x14ac:dyDescent="0.4">
      <c r="A93" s="4" t="s">
        <v>93</v>
      </c>
      <c r="B93" s="70" t="s">
        <v>178</v>
      </c>
      <c r="C93" s="4" t="s">
        <v>111</v>
      </c>
      <c r="D93" s="4">
        <v>163</v>
      </c>
      <c r="E93" s="4">
        <v>131</v>
      </c>
      <c r="F93" s="5">
        <v>45498</v>
      </c>
      <c r="G93" s="5">
        <v>209686</v>
      </c>
      <c r="H93" s="6">
        <v>-164188</v>
      </c>
      <c r="I93" s="4" t="s">
        <v>101</v>
      </c>
      <c r="J93" s="5">
        <v>5361590</v>
      </c>
      <c r="K93" s="5">
        <v>45498</v>
      </c>
      <c r="L93" s="5">
        <v>15356704</v>
      </c>
      <c r="M93" s="5">
        <v>47773</v>
      </c>
      <c r="N93" s="7" t="s">
        <v>364</v>
      </c>
      <c r="O93" s="7" t="s">
        <v>365</v>
      </c>
      <c r="P93" s="11">
        <v>45317</v>
      </c>
      <c r="Q93" s="2" t="str">
        <f t="shared" si="8"/>
        <v>45317早班本地所有</v>
      </c>
      <c r="R93" s="2">
        <f t="shared" si="13"/>
        <v>15356704</v>
      </c>
      <c r="S93" s="2">
        <f t="shared" si="13"/>
        <v>47773</v>
      </c>
      <c r="T93" s="2" t="str">
        <f t="shared" si="10"/>
        <v>45317本地所有-早班</v>
      </c>
      <c r="U93" s="2">
        <f t="shared" si="11"/>
        <v>3.1108899999999998E-3</v>
      </c>
      <c r="V93" s="2" t="str">
        <f t="shared" si="12"/>
        <v>陈楠</v>
      </c>
    </row>
    <row r="94" spans="1:22" ht="16.5" x14ac:dyDescent="0.4">
      <c r="A94" s="4" t="s">
        <v>92</v>
      </c>
      <c r="B94" s="70" t="s">
        <v>104</v>
      </c>
      <c r="C94" s="4" t="s">
        <v>122</v>
      </c>
      <c r="D94" s="4">
        <v>154</v>
      </c>
      <c r="E94" s="4">
        <v>114</v>
      </c>
      <c r="F94" s="5">
        <v>51398</v>
      </c>
      <c r="G94" s="5">
        <v>115970</v>
      </c>
      <c r="H94" s="6">
        <v>-64572</v>
      </c>
      <c r="I94" s="4" t="s">
        <v>101</v>
      </c>
      <c r="J94" s="5">
        <v>4709213</v>
      </c>
      <c r="K94" s="5">
        <v>51398</v>
      </c>
      <c r="L94" s="5">
        <v>18045658</v>
      </c>
      <c r="M94" s="5">
        <v>59550</v>
      </c>
      <c r="N94" s="7" t="s">
        <v>366</v>
      </c>
      <c r="O94" s="7" t="s">
        <v>367</v>
      </c>
      <c r="P94" s="11">
        <v>45317</v>
      </c>
      <c r="Q94" s="2" t="str">
        <f t="shared" si="8"/>
        <v>45317下午班本地一区</v>
      </c>
      <c r="R94" s="2">
        <f t="shared" si="13"/>
        <v>18045658</v>
      </c>
      <c r="S94" s="2">
        <f t="shared" si="13"/>
        <v>59550</v>
      </c>
      <c r="T94" s="2" t="str">
        <f t="shared" si="10"/>
        <v>45317本地一区-下午班</v>
      </c>
      <c r="U94" s="2">
        <f t="shared" si="11"/>
        <v>3.2999599999999998E-3</v>
      </c>
      <c r="V94" s="2" t="str">
        <f t="shared" si="12"/>
        <v>赵依然</v>
      </c>
    </row>
    <row r="95" spans="1:22" ht="16.5" x14ac:dyDescent="0.4">
      <c r="A95" s="4" t="s">
        <v>92</v>
      </c>
      <c r="B95" s="70" t="s">
        <v>105</v>
      </c>
      <c r="C95" s="4" t="s">
        <v>133</v>
      </c>
      <c r="D95" s="4">
        <v>155</v>
      </c>
      <c r="E95" s="4">
        <v>129</v>
      </c>
      <c r="F95" s="5">
        <v>35856</v>
      </c>
      <c r="G95" s="5">
        <v>93717</v>
      </c>
      <c r="H95" s="6">
        <v>-57861</v>
      </c>
      <c r="I95" s="4" t="s">
        <v>101</v>
      </c>
      <c r="J95" s="5">
        <v>2422423</v>
      </c>
      <c r="K95" s="5">
        <v>35856</v>
      </c>
      <c r="L95" s="5">
        <v>8885357</v>
      </c>
      <c r="M95" s="5">
        <v>42122</v>
      </c>
      <c r="N95" s="7" t="s">
        <v>112</v>
      </c>
      <c r="O95" s="7" t="s">
        <v>368</v>
      </c>
      <c r="P95" s="11">
        <v>45317</v>
      </c>
      <c r="Q95" s="2" t="str">
        <f t="shared" si="8"/>
        <v>45317下午班本地二区</v>
      </c>
      <c r="R95" s="2">
        <f t="shared" si="13"/>
        <v>8885357</v>
      </c>
      <c r="S95" s="2">
        <f t="shared" si="13"/>
        <v>42122</v>
      </c>
      <c r="T95" s="2" t="str">
        <f t="shared" si="10"/>
        <v>45317本地二区-下午班</v>
      </c>
      <c r="U95" s="2">
        <f t="shared" si="11"/>
        <v>4.7406100000000001E-3</v>
      </c>
      <c r="V95" s="2" t="str">
        <f t="shared" si="12"/>
        <v>林好男</v>
      </c>
    </row>
    <row r="96" spans="1:22" ht="16.5" x14ac:dyDescent="0.4">
      <c r="A96" s="4" t="s">
        <v>93</v>
      </c>
      <c r="B96" s="70" t="s">
        <v>104</v>
      </c>
      <c r="C96" s="4" t="s">
        <v>158</v>
      </c>
      <c r="D96" s="4">
        <v>170</v>
      </c>
      <c r="E96" s="4">
        <v>103</v>
      </c>
      <c r="F96" s="5">
        <v>39452</v>
      </c>
      <c r="G96" s="5">
        <v>115970</v>
      </c>
      <c r="H96" s="6">
        <v>-76518</v>
      </c>
      <c r="I96" s="4" t="s">
        <v>101</v>
      </c>
      <c r="J96" s="5">
        <v>1727716</v>
      </c>
      <c r="K96" s="5">
        <v>39452</v>
      </c>
      <c r="L96" s="5">
        <v>9718038</v>
      </c>
      <c r="M96" s="5">
        <v>43980</v>
      </c>
      <c r="N96" s="7" t="s">
        <v>371</v>
      </c>
      <c r="O96" s="7" t="s">
        <v>372</v>
      </c>
      <c r="P96" s="11">
        <v>45318</v>
      </c>
      <c r="Q96" s="2" t="str">
        <f t="shared" si="8"/>
        <v>45318早班本地一区</v>
      </c>
      <c r="R96" s="2">
        <f t="shared" si="13"/>
        <v>9718038</v>
      </c>
      <c r="S96" s="2">
        <f t="shared" si="13"/>
        <v>43980</v>
      </c>
      <c r="T96" s="2" t="str">
        <f t="shared" si="10"/>
        <v>45318本地一区-早班</v>
      </c>
      <c r="U96" s="2">
        <f t="shared" si="11"/>
        <v>4.5256000000000003E-3</v>
      </c>
      <c r="V96" s="2" t="str">
        <f t="shared" si="12"/>
        <v>李晓晗</v>
      </c>
    </row>
    <row r="97" spans="1:22" ht="16.5" x14ac:dyDescent="0.4">
      <c r="A97" s="4" t="s">
        <v>93</v>
      </c>
      <c r="B97" s="70" t="s">
        <v>105</v>
      </c>
      <c r="C97" s="4" t="s">
        <v>111</v>
      </c>
      <c r="D97" s="4">
        <v>153</v>
      </c>
      <c r="E97" s="4">
        <v>102</v>
      </c>
      <c r="F97" s="5">
        <v>32643</v>
      </c>
      <c r="G97" s="5">
        <v>93717</v>
      </c>
      <c r="H97" s="6">
        <v>-61074</v>
      </c>
      <c r="I97" s="4" t="s">
        <v>101</v>
      </c>
      <c r="J97" s="5">
        <v>6967850</v>
      </c>
      <c r="K97" s="5">
        <v>32643</v>
      </c>
      <c r="L97" s="5">
        <v>11949831</v>
      </c>
      <c r="M97" s="5">
        <v>34460</v>
      </c>
      <c r="N97" s="7" t="s">
        <v>370</v>
      </c>
      <c r="O97" s="7" t="s">
        <v>373</v>
      </c>
      <c r="P97" s="11">
        <v>45318</v>
      </c>
      <c r="Q97" s="2" t="str">
        <f t="shared" si="8"/>
        <v>45318早班本地二区</v>
      </c>
      <c r="R97" s="2">
        <f t="shared" si="13"/>
        <v>11949831</v>
      </c>
      <c r="S97" s="2">
        <f t="shared" si="13"/>
        <v>34460</v>
      </c>
      <c r="T97" s="2" t="str">
        <f t="shared" si="10"/>
        <v>45318本地二区-早班</v>
      </c>
      <c r="U97" s="2">
        <f t="shared" si="11"/>
        <v>2.8837200000000002E-3</v>
      </c>
      <c r="V97" s="2" t="str">
        <f t="shared" si="12"/>
        <v>陈楠</v>
      </c>
    </row>
    <row r="98" spans="1:22" ht="16.5" x14ac:dyDescent="0.4">
      <c r="A98" s="4" t="s">
        <v>92</v>
      </c>
      <c r="B98" s="70" t="s">
        <v>178</v>
      </c>
      <c r="C98" s="4" t="s">
        <v>133</v>
      </c>
      <c r="D98" s="4">
        <v>273</v>
      </c>
      <c r="E98" s="4">
        <v>183</v>
      </c>
      <c r="F98" s="5">
        <v>74750</v>
      </c>
      <c r="G98" s="5">
        <v>209686</v>
      </c>
      <c r="H98" s="6">
        <v>-134936</v>
      </c>
      <c r="I98" s="4" t="s">
        <v>101</v>
      </c>
      <c r="J98" s="5">
        <v>7148078</v>
      </c>
      <c r="K98" s="5">
        <v>74750</v>
      </c>
      <c r="L98" s="5">
        <v>20692650</v>
      </c>
      <c r="M98" s="5">
        <v>87096</v>
      </c>
      <c r="N98" s="7" t="s">
        <v>369</v>
      </c>
      <c r="O98" s="7" t="s">
        <v>374</v>
      </c>
      <c r="P98" s="11">
        <v>45318</v>
      </c>
      <c r="Q98" s="2" t="str">
        <f t="shared" si="8"/>
        <v>45318下午班本地所有</v>
      </c>
      <c r="R98" s="2">
        <f t="shared" ref="R98:S113" si="14">L98</f>
        <v>20692650</v>
      </c>
      <c r="S98" s="2">
        <f t="shared" si="14"/>
        <v>87096</v>
      </c>
      <c r="T98" s="2" t="str">
        <f t="shared" si="10"/>
        <v>45318本地所有-下午班</v>
      </c>
      <c r="U98" s="2">
        <f t="shared" si="11"/>
        <v>4.2090299999999999E-3</v>
      </c>
      <c r="V98" s="2" t="str">
        <f t="shared" si="12"/>
        <v>林好男</v>
      </c>
    </row>
    <row r="99" spans="1:22" ht="16.5" x14ac:dyDescent="0.4">
      <c r="A99" s="4" t="s">
        <v>93</v>
      </c>
      <c r="B99" s="70" t="s">
        <v>104</v>
      </c>
      <c r="C99" s="4" t="s">
        <v>110</v>
      </c>
      <c r="D99" s="4">
        <v>165</v>
      </c>
      <c r="E99" s="4">
        <v>126</v>
      </c>
      <c r="F99" s="5">
        <v>41098</v>
      </c>
      <c r="G99" s="5">
        <v>115970</v>
      </c>
      <c r="H99" s="6">
        <v>-74872</v>
      </c>
      <c r="I99" s="4" t="s">
        <v>101</v>
      </c>
      <c r="J99" s="5">
        <v>3932661</v>
      </c>
      <c r="K99" s="5">
        <v>41098</v>
      </c>
      <c r="L99" s="5">
        <v>15004266</v>
      </c>
      <c r="M99" s="5">
        <v>46663</v>
      </c>
      <c r="N99" s="7" t="s">
        <v>369</v>
      </c>
      <c r="O99" s="7" t="s">
        <v>375</v>
      </c>
      <c r="P99" s="11">
        <v>45319</v>
      </c>
      <c r="Q99" s="2" t="str">
        <f t="shared" si="8"/>
        <v>45319早班本地一区</v>
      </c>
      <c r="R99" s="2">
        <f t="shared" si="14"/>
        <v>15004266</v>
      </c>
      <c r="S99" s="2">
        <f t="shared" si="14"/>
        <v>46663</v>
      </c>
      <c r="T99" s="2" t="str">
        <f t="shared" si="10"/>
        <v>45319本地一区-早班</v>
      </c>
      <c r="U99" s="2">
        <f t="shared" si="11"/>
        <v>3.10998E-3</v>
      </c>
      <c r="V99" s="2" t="str">
        <f t="shared" si="12"/>
        <v>赵勇</v>
      </c>
    </row>
    <row r="100" spans="1:22" ht="16.5" x14ac:dyDescent="0.4">
      <c r="A100" s="4" t="s">
        <v>93</v>
      </c>
      <c r="B100" s="70" t="s">
        <v>105</v>
      </c>
      <c r="C100" s="4" t="s">
        <v>158</v>
      </c>
      <c r="D100" s="4">
        <v>159</v>
      </c>
      <c r="E100" s="4">
        <v>106</v>
      </c>
      <c r="F100" s="5">
        <v>32361</v>
      </c>
      <c r="G100" s="5">
        <v>93717</v>
      </c>
      <c r="H100" s="6">
        <v>-61356</v>
      </c>
      <c r="I100" s="4" t="s">
        <v>101</v>
      </c>
      <c r="J100" s="5">
        <v>3567797</v>
      </c>
      <c r="K100" s="5">
        <v>32361</v>
      </c>
      <c r="L100" s="5">
        <v>10965853</v>
      </c>
      <c r="M100" s="5">
        <v>35620</v>
      </c>
      <c r="N100" s="7" t="s">
        <v>163</v>
      </c>
      <c r="O100" s="7" t="s">
        <v>376</v>
      </c>
      <c r="P100" s="11">
        <v>45319</v>
      </c>
      <c r="Q100" s="2" t="str">
        <f t="shared" si="8"/>
        <v>45319早班本地二区</v>
      </c>
      <c r="R100" s="2">
        <f t="shared" si="14"/>
        <v>10965853</v>
      </c>
      <c r="S100" s="2">
        <f t="shared" si="14"/>
        <v>35620</v>
      </c>
      <c r="T100" s="2" t="str">
        <f t="shared" si="10"/>
        <v>45319本地二区-早班</v>
      </c>
      <c r="U100" s="2">
        <f t="shared" si="11"/>
        <v>3.2482700000000002E-3</v>
      </c>
      <c r="V100" s="2" t="str">
        <f t="shared" si="12"/>
        <v>李晓晗</v>
      </c>
    </row>
    <row r="101" spans="1:22" ht="16.5" x14ac:dyDescent="0.4">
      <c r="A101" s="4" t="s">
        <v>92</v>
      </c>
      <c r="B101" s="70" t="s">
        <v>178</v>
      </c>
      <c r="C101" s="4" t="s">
        <v>122</v>
      </c>
      <c r="D101" s="4">
        <v>172</v>
      </c>
      <c r="E101" s="4">
        <v>108</v>
      </c>
      <c r="F101" s="5">
        <v>57707</v>
      </c>
      <c r="G101" s="5">
        <v>209686</v>
      </c>
      <c r="H101" s="6">
        <v>-151979</v>
      </c>
      <c r="I101" s="4" t="s">
        <v>101</v>
      </c>
      <c r="J101" s="5">
        <v>5286427</v>
      </c>
      <c r="K101" s="5">
        <v>57707</v>
      </c>
      <c r="L101" s="5">
        <v>14017181</v>
      </c>
      <c r="M101" s="5">
        <v>64781</v>
      </c>
      <c r="N101" s="7" t="s">
        <v>366</v>
      </c>
      <c r="O101" s="7" t="s">
        <v>377</v>
      </c>
      <c r="P101" s="11">
        <v>45319</v>
      </c>
      <c r="Q101" s="2" t="str">
        <f t="shared" si="8"/>
        <v>45319下午班本地所有</v>
      </c>
      <c r="R101" s="2">
        <f t="shared" si="14"/>
        <v>14017181</v>
      </c>
      <c r="S101" s="2">
        <f t="shared" si="14"/>
        <v>64781</v>
      </c>
      <c r="T101" s="2" t="str">
        <f t="shared" si="10"/>
        <v>45319本地所有-下午班</v>
      </c>
      <c r="U101" s="2">
        <f t="shared" si="11"/>
        <v>4.6215400000000004E-3</v>
      </c>
      <c r="V101" s="2" t="str">
        <f t="shared" si="12"/>
        <v>赵依然</v>
      </c>
    </row>
    <row r="102" spans="1:22" ht="16.5" x14ac:dyDescent="0.4">
      <c r="A102" s="4" t="s">
        <v>93</v>
      </c>
      <c r="B102" s="70" t="s">
        <v>104</v>
      </c>
      <c r="C102" s="4" t="s">
        <v>133</v>
      </c>
      <c r="D102" s="4">
        <v>152</v>
      </c>
      <c r="E102" s="4">
        <v>109</v>
      </c>
      <c r="F102" s="5">
        <v>36875</v>
      </c>
      <c r="G102" s="5">
        <v>115970</v>
      </c>
      <c r="H102" s="6">
        <v>-79095</v>
      </c>
      <c r="I102" s="4" t="s">
        <v>101</v>
      </c>
      <c r="J102" s="5">
        <v>1262049</v>
      </c>
      <c r="K102" s="5">
        <v>36875</v>
      </c>
      <c r="L102" s="5">
        <v>8950356</v>
      </c>
      <c r="M102" s="5">
        <v>41353</v>
      </c>
      <c r="N102" s="7" t="s">
        <v>378</v>
      </c>
      <c r="O102" s="7" t="s">
        <v>379</v>
      </c>
      <c r="P102" s="11">
        <v>45320</v>
      </c>
      <c r="Q102" s="2" t="str">
        <f t="shared" si="8"/>
        <v>45320早班本地一区</v>
      </c>
      <c r="R102" s="2">
        <f t="shared" si="14"/>
        <v>8950356</v>
      </c>
      <c r="S102" s="2">
        <f t="shared" si="14"/>
        <v>41353</v>
      </c>
      <c r="T102" s="2" t="str">
        <f t="shared" si="10"/>
        <v>45320本地一区-早班</v>
      </c>
      <c r="U102" s="2">
        <f t="shared" si="11"/>
        <v>4.6202600000000002E-3</v>
      </c>
      <c r="V102" s="2" t="str">
        <f t="shared" si="12"/>
        <v>林好男</v>
      </c>
    </row>
    <row r="103" spans="1:22" ht="16.5" x14ac:dyDescent="0.4">
      <c r="A103" s="4" t="s">
        <v>93</v>
      </c>
      <c r="B103" s="70" t="s">
        <v>105</v>
      </c>
      <c r="C103" s="4" t="s">
        <v>158</v>
      </c>
      <c r="D103" s="4">
        <v>167</v>
      </c>
      <c r="E103" s="4">
        <v>104</v>
      </c>
      <c r="F103" s="5">
        <v>33310</v>
      </c>
      <c r="G103" s="5">
        <v>93717</v>
      </c>
      <c r="H103" s="6">
        <v>-60407</v>
      </c>
      <c r="I103" s="4" t="s">
        <v>101</v>
      </c>
      <c r="J103" s="5">
        <v>839598</v>
      </c>
      <c r="K103" s="5">
        <v>33310</v>
      </c>
      <c r="L103" s="5">
        <v>7170427</v>
      </c>
      <c r="M103" s="5">
        <v>37567</v>
      </c>
      <c r="N103" s="7" t="s">
        <v>380</v>
      </c>
      <c r="O103" s="7" t="s">
        <v>381</v>
      </c>
      <c r="P103" s="11">
        <v>45320</v>
      </c>
      <c r="Q103" s="2" t="str">
        <f t="shared" si="8"/>
        <v>45320早班本地二区</v>
      </c>
      <c r="R103" s="2">
        <f t="shared" si="14"/>
        <v>7170427</v>
      </c>
      <c r="S103" s="2">
        <f t="shared" si="14"/>
        <v>37567</v>
      </c>
      <c r="T103" s="2" t="str">
        <f t="shared" si="10"/>
        <v>45320本地二区-早班</v>
      </c>
      <c r="U103" s="2">
        <f t="shared" si="11"/>
        <v>5.2391599999999997E-3</v>
      </c>
      <c r="V103" s="2" t="str">
        <f t="shared" si="12"/>
        <v>李晓晗</v>
      </c>
    </row>
    <row r="104" spans="1:22" ht="16.5" x14ac:dyDescent="0.4">
      <c r="A104" s="4" t="s">
        <v>92</v>
      </c>
      <c r="B104" s="70" t="s">
        <v>104</v>
      </c>
      <c r="C104" s="4" t="s">
        <v>110</v>
      </c>
      <c r="D104" s="4">
        <v>173</v>
      </c>
      <c r="E104" s="4">
        <v>117</v>
      </c>
      <c r="F104" s="5">
        <v>51005</v>
      </c>
      <c r="G104" s="5">
        <v>115970</v>
      </c>
      <c r="H104" s="6">
        <v>-64965</v>
      </c>
      <c r="I104" s="4" t="s">
        <v>101</v>
      </c>
      <c r="J104" s="5">
        <v>2768447</v>
      </c>
      <c r="K104" s="5">
        <v>51005</v>
      </c>
      <c r="L104" s="5">
        <v>12130349</v>
      </c>
      <c r="M104" s="5">
        <v>59615</v>
      </c>
      <c r="N104" s="7" t="s">
        <v>318</v>
      </c>
      <c r="O104" s="7" t="s">
        <v>382</v>
      </c>
      <c r="P104" s="11">
        <v>45320</v>
      </c>
      <c r="Q104" s="2" t="str">
        <f t="shared" si="8"/>
        <v>45320下午班本地一区</v>
      </c>
      <c r="R104" s="2">
        <f t="shared" si="14"/>
        <v>12130349</v>
      </c>
      <c r="S104" s="2">
        <f t="shared" si="14"/>
        <v>59615</v>
      </c>
      <c r="T104" s="2" t="str">
        <f t="shared" si="10"/>
        <v>45320本地一区-下午班</v>
      </c>
      <c r="U104" s="2">
        <f t="shared" si="11"/>
        <v>4.9145300000000003E-3</v>
      </c>
      <c r="V104" s="2" t="str">
        <f t="shared" si="12"/>
        <v>赵勇</v>
      </c>
    </row>
    <row r="105" spans="1:22" ht="16.5" x14ac:dyDescent="0.4">
      <c r="A105" s="4" t="s">
        <v>92</v>
      </c>
      <c r="B105" s="70" t="s">
        <v>105</v>
      </c>
      <c r="C105" s="4" t="s">
        <v>111</v>
      </c>
      <c r="D105" s="4">
        <v>152</v>
      </c>
      <c r="E105" s="4">
        <v>106</v>
      </c>
      <c r="F105" s="5">
        <v>33333</v>
      </c>
      <c r="G105" s="5">
        <v>93717</v>
      </c>
      <c r="H105" s="6">
        <v>-60384</v>
      </c>
      <c r="I105" s="4" t="s">
        <v>101</v>
      </c>
      <c r="J105" s="5">
        <v>2987660</v>
      </c>
      <c r="K105" s="5">
        <v>33333</v>
      </c>
      <c r="L105" s="5">
        <v>7329392</v>
      </c>
      <c r="M105" s="5">
        <v>36477</v>
      </c>
      <c r="N105" s="7" t="s">
        <v>116</v>
      </c>
      <c r="O105" s="7" t="s">
        <v>383</v>
      </c>
      <c r="P105" s="11">
        <v>45320</v>
      </c>
      <c r="Q105" s="2" t="str">
        <f t="shared" si="8"/>
        <v>45320下午班本地二区</v>
      </c>
      <c r="R105" s="2">
        <f t="shared" si="14"/>
        <v>7329392</v>
      </c>
      <c r="S105" s="2">
        <f t="shared" si="14"/>
        <v>36477</v>
      </c>
      <c r="T105" s="2" t="str">
        <f t="shared" si="10"/>
        <v>45320本地二区-下午班</v>
      </c>
      <c r="U105" s="2">
        <f t="shared" si="11"/>
        <v>4.9768099999999999E-3</v>
      </c>
      <c r="V105" s="2" t="str">
        <f t="shared" si="12"/>
        <v>陈楠</v>
      </c>
    </row>
    <row r="106" spans="1:22" ht="16.5" x14ac:dyDescent="0.4">
      <c r="A106" s="4" t="s">
        <v>93</v>
      </c>
      <c r="B106" s="70" t="s">
        <v>104</v>
      </c>
      <c r="C106" s="4" t="s">
        <v>158</v>
      </c>
      <c r="D106" s="4">
        <v>193</v>
      </c>
      <c r="E106" s="4">
        <v>107</v>
      </c>
      <c r="F106" s="5">
        <v>47488</v>
      </c>
      <c r="G106" s="5">
        <v>115970</v>
      </c>
      <c r="H106" s="6">
        <v>-68482</v>
      </c>
      <c r="I106" s="4" t="s">
        <v>101</v>
      </c>
      <c r="J106" s="5">
        <v>3547394</v>
      </c>
      <c r="K106" s="5">
        <v>47488</v>
      </c>
      <c r="L106" s="5">
        <v>11189861</v>
      </c>
      <c r="M106" s="5">
        <v>53494</v>
      </c>
      <c r="N106" s="7" t="s">
        <v>332</v>
      </c>
      <c r="O106" s="7" t="s">
        <v>384</v>
      </c>
      <c r="P106" s="11">
        <v>45321</v>
      </c>
      <c r="Q106" s="2" t="str">
        <f t="shared" si="8"/>
        <v>45321早班本地一区</v>
      </c>
      <c r="R106" s="2">
        <f t="shared" si="14"/>
        <v>11189861</v>
      </c>
      <c r="S106" s="2">
        <f t="shared" si="14"/>
        <v>53494</v>
      </c>
      <c r="T106" s="2" t="str">
        <f t="shared" si="10"/>
        <v>45321本地一区-早班</v>
      </c>
      <c r="U106" s="2">
        <f t="shared" si="11"/>
        <v>4.7805800000000004E-3</v>
      </c>
      <c r="V106" s="2" t="str">
        <f t="shared" si="12"/>
        <v>李晓晗</v>
      </c>
    </row>
    <row r="107" spans="1:22" ht="16.5" x14ac:dyDescent="0.4">
      <c r="A107" s="4" t="s">
        <v>93</v>
      </c>
      <c r="B107" s="70" t="s">
        <v>105</v>
      </c>
      <c r="C107" s="4" t="s">
        <v>122</v>
      </c>
      <c r="D107" s="4">
        <v>163</v>
      </c>
      <c r="E107" s="4">
        <v>100</v>
      </c>
      <c r="F107" s="5">
        <v>34146</v>
      </c>
      <c r="G107" s="5">
        <v>93717</v>
      </c>
      <c r="H107" s="6">
        <v>-59571</v>
      </c>
      <c r="I107" s="4" t="s">
        <v>101</v>
      </c>
      <c r="J107" s="5">
        <v>3631324</v>
      </c>
      <c r="K107" s="5">
        <v>34146</v>
      </c>
      <c r="L107" s="5">
        <v>10126982</v>
      </c>
      <c r="M107" s="5">
        <v>37744</v>
      </c>
      <c r="N107" s="7" t="s">
        <v>118</v>
      </c>
      <c r="O107" s="7" t="s">
        <v>385</v>
      </c>
      <c r="P107" s="11">
        <v>45321</v>
      </c>
      <c r="Q107" s="2" t="str">
        <f t="shared" si="8"/>
        <v>45321早班本地二区</v>
      </c>
      <c r="R107" s="2">
        <f t="shared" si="14"/>
        <v>10126982</v>
      </c>
      <c r="S107" s="2">
        <f t="shared" si="14"/>
        <v>37744</v>
      </c>
      <c r="T107" s="2" t="str">
        <f t="shared" si="10"/>
        <v>45321本地二区-早班</v>
      </c>
      <c r="U107" s="2">
        <f t="shared" si="11"/>
        <v>3.7270699999999999E-3</v>
      </c>
      <c r="V107" s="2" t="str">
        <f t="shared" si="12"/>
        <v>赵依然</v>
      </c>
    </row>
    <row r="108" spans="1:22" ht="16.5" x14ac:dyDescent="0.4">
      <c r="A108" s="4" t="s">
        <v>92</v>
      </c>
      <c r="B108" s="70" t="s">
        <v>104</v>
      </c>
      <c r="C108" s="4" t="s">
        <v>133</v>
      </c>
      <c r="D108" s="4">
        <v>173</v>
      </c>
      <c r="E108" s="4">
        <v>124</v>
      </c>
      <c r="F108" s="5">
        <v>43384</v>
      </c>
      <c r="G108" s="5">
        <v>115970</v>
      </c>
      <c r="H108" s="6">
        <v>-72586</v>
      </c>
      <c r="I108" s="4" t="s">
        <v>101</v>
      </c>
      <c r="J108" s="5">
        <v>2612785</v>
      </c>
      <c r="K108" s="5">
        <v>43384</v>
      </c>
      <c r="L108" s="5">
        <v>8620549</v>
      </c>
      <c r="M108" s="5">
        <v>50598</v>
      </c>
      <c r="N108" s="7" t="s">
        <v>386</v>
      </c>
      <c r="O108" s="7" t="s">
        <v>387</v>
      </c>
      <c r="P108" s="11">
        <v>45321</v>
      </c>
      <c r="Q108" s="2" t="str">
        <f t="shared" si="8"/>
        <v>45321下午班本地一区</v>
      </c>
      <c r="R108" s="2">
        <f t="shared" si="14"/>
        <v>8620549</v>
      </c>
      <c r="S108" s="2">
        <f t="shared" si="14"/>
        <v>50598</v>
      </c>
      <c r="T108" s="2" t="str">
        <f t="shared" si="10"/>
        <v>45321本地一区-下午班</v>
      </c>
      <c r="U108" s="2">
        <f t="shared" si="11"/>
        <v>5.86946E-3</v>
      </c>
      <c r="V108" s="2" t="str">
        <f t="shared" si="12"/>
        <v>林好男</v>
      </c>
    </row>
    <row r="109" spans="1:22" ht="16.5" x14ac:dyDescent="0.4">
      <c r="A109" s="4" t="s">
        <v>92</v>
      </c>
      <c r="B109" s="70" t="s">
        <v>105</v>
      </c>
      <c r="C109" s="4" t="s">
        <v>111</v>
      </c>
      <c r="D109" s="4">
        <v>151</v>
      </c>
      <c r="E109" s="4">
        <v>104</v>
      </c>
      <c r="F109" s="5">
        <v>37165</v>
      </c>
      <c r="G109" s="5">
        <v>93717</v>
      </c>
      <c r="H109" s="6">
        <v>-56552</v>
      </c>
      <c r="I109" s="4" t="s">
        <v>101</v>
      </c>
      <c r="J109" s="5">
        <v>4209503</v>
      </c>
      <c r="K109" s="5">
        <v>37165</v>
      </c>
      <c r="L109" s="5">
        <v>8928955</v>
      </c>
      <c r="M109" s="5">
        <v>39660</v>
      </c>
      <c r="N109" s="7" t="s">
        <v>334</v>
      </c>
      <c r="O109" s="7" t="s">
        <v>388</v>
      </c>
      <c r="P109" s="11">
        <v>45321</v>
      </c>
      <c r="Q109" s="2" t="str">
        <f t="shared" si="8"/>
        <v>45321下午班本地二区</v>
      </c>
      <c r="R109" s="2">
        <f t="shared" si="14"/>
        <v>8928955</v>
      </c>
      <c r="S109" s="2">
        <f t="shared" si="14"/>
        <v>39660</v>
      </c>
      <c r="T109" s="2" t="str">
        <f t="shared" si="10"/>
        <v>45321本地二区-下午班</v>
      </c>
      <c r="U109" s="2">
        <f t="shared" si="11"/>
        <v>4.4417299999999996E-3</v>
      </c>
      <c r="V109" s="2" t="str">
        <f t="shared" si="12"/>
        <v>陈楠</v>
      </c>
    </row>
    <row r="110" spans="1:22" ht="16.5" x14ac:dyDescent="0.4">
      <c r="A110" s="4" t="s">
        <v>93</v>
      </c>
      <c r="B110" s="70" t="s">
        <v>104</v>
      </c>
      <c r="C110" s="4" t="s">
        <v>110</v>
      </c>
      <c r="D110" s="4">
        <v>173</v>
      </c>
      <c r="E110" s="4">
        <v>110</v>
      </c>
      <c r="F110" s="5">
        <v>31803</v>
      </c>
      <c r="G110" s="5">
        <v>115970</v>
      </c>
      <c r="H110" s="6">
        <v>-84167</v>
      </c>
      <c r="I110" s="4" t="s">
        <v>101</v>
      </c>
      <c r="J110" s="5">
        <v>3486165</v>
      </c>
      <c r="K110" s="5">
        <v>31803</v>
      </c>
      <c r="L110" s="5">
        <v>7771725</v>
      </c>
      <c r="M110" s="5">
        <v>35024</v>
      </c>
      <c r="N110" s="7" t="s">
        <v>163</v>
      </c>
      <c r="O110" s="7" t="s">
        <v>390</v>
      </c>
      <c r="P110" s="11">
        <v>45322</v>
      </c>
      <c r="Q110" s="2" t="str">
        <f t="shared" si="8"/>
        <v>45322早班本地一区</v>
      </c>
      <c r="R110" s="2">
        <f t="shared" si="14"/>
        <v>7771725</v>
      </c>
      <c r="S110" s="2">
        <f t="shared" si="14"/>
        <v>35024</v>
      </c>
      <c r="T110" s="2" t="str">
        <f t="shared" si="10"/>
        <v>45322本地一区-早班</v>
      </c>
      <c r="U110" s="2">
        <f t="shared" si="11"/>
        <v>4.5065900000000004E-3</v>
      </c>
      <c r="V110" s="2" t="str">
        <f t="shared" si="12"/>
        <v>赵勇</v>
      </c>
    </row>
    <row r="111" spans="1:22" ht="16.5" x14ac:dyDescent="0.4">
      <c r="A111" s="4" t="s">
        <v>93</v>
      </c>
      <c r="B111" s="70" t="s">
        <v>105</v>
      </c>
      <c r="C111" s="4" t="s">
        <v>158</v>
      </c>
      <c r="D111" s="4">
        <v>211</v>
      </c>
      <c r="E111" s="4">
        <v>107</v>
      </c>
      <c r="F111" s="5">
        <v>25683</v>
      </c>
      <c r="G111" s="5">
        <v>93717</v>
      </c>
      <c r="H111" s="6">
        <v>-68034</v>
      </c>
      <c r="I111" s="4" t="s">
        <v>101</v>
      </c>
      <c r="J111" s="5">
        <v>1987166</v>
      </c>
      <c r="K111" s="5">
        <v>25683</v>
      </c>
      <c r="L111" s="5">
        <v>4996566</v>
      </c>
      <c r="M111" s="5">
        <v>28413</v>
      </c>
      <c r="N111" s="7" t="s">
        <v>391</v>
      </c>
      <c r="O111" s="7" t="s">
        <v>392</v>
      </c>
      <c r="P111" s="11">
        <v>45322</v>
      </c>
      <c r="Q111" s="2" t="str">
        <f t="shared" si="8"/>
        <v>45322早班本地二区</v>
      </c>
      <c r="R111" s="2">
        <f t="shared" si="14"/>
        <v>4996566</v>
      </c>
      <c r="S111" s="2">
        <f t="shared" si="14"/>
        <v>28413</v>
      </c>
      <c r="T111" s="2" t="str">
        <f t="shared" si="10"/>
        <v>45322本地二区-早班</v>
      </c>
      <c r="U111" s="2">
        <f t="shared" si="11"/>
        <v>5.6865099999999997E-3</v>
      </c>
      <c r="V111" s="2" t="str">
        <f t="shared" si="12"/>
        <v>李晓晗</v>
      </c>
    </row>
    <row r="112" spans="1:22" ht="16.5" x14ac:dyDescent="0.4">
      <c r="A112" s="4" t="s">
        <v>92</v>
      </c>
      <c r="B112" s="70" t="s">
        <v>104</v>
      </c>
      <c r="C112" s="4" t="s">
        <v>111</v>
      </c>
      <c r="D112" s="4">
        <v>154</v>
      </c>
      <c r="E112" s="4">
        <v>106</v>
      </c>
      <c r="F112" s="5">
        <v>44135</v>
      </c>
      <c r="G112" s="5">
        <v>115970</v>
      </c>
      <c r="H112" s="6">
        <v>-71835</v>
      </c>
      <c r="I112" s="4" t="s">
        <v>101</v>
      </c>
      <c r="J112" s="5">
        <v>6956582</v>
      </c>
      <c r="K112" s="5">
        <v>44135</v>
      </c>
      <c r="L112" s="5">
        <v>11746740</v>
      </c>
      <c r="M112" s="5">
        <v>46710</v>
      </c>
      <c r="N112" s="7" t="s">
        <v>389</v>
      </c>
      <c r="O112" s="7" t="s">
        <v>393</v>
      </c>
      <c r="P112" s="11">
        <v>45322</v>
      </c>
      <c r="Q112" s="2" t="str">
        <f t="shared" si="8"/>
        <v>45322下午班本地一区</v>
      </c>
      <c r="R112" s="2">
        <f t="shared" si="14"/>
        <v>11746740</v>
      </c>
      <c r="S112" s="2">
        <f t="shared" si="14"/>
        <v>46710</v>
      </c>
      <c r="T112" s="2" t="str">
        <f t="shared" si="10"/>
        <v>45322本地一区-下午班</v>
      </c>
      <c r="U112" s="2">
        <f t="shared" si="11"/>
        <v>3.9764199999999996E-3</v>
      </c>
      <c r="V112" s="2" t="str">
        <f t="shared" si="12"/>
        <v>陈楠</v>
      </c>
    </row>
    <row r="113" spans="1:22" ht="16.5" x14ac:dyDescent="0.4">
      <c r="A113" s="4" t="s">
        <v>92</v>
      </c>
      <c r="B113" s="70" t="s">
        <v>105</v>
      </c>
      <c r="C113" s="4" t="s">
        <v>122</v>
      </c>
      <c r="D113" s="4">
        <v>161</v>
      </c>
      <c r="E113" s="4">
        <v>100</v>
      </c>
      <c r="F113" s="5">
        <v>28057</v>
      </c>
      <c r="G113" s="5">
        <v>93717</v>
      </c>
      <c r="H113" s="6">
        <v>-65660</v>
      </c>
      <c r="I113" s="4" t="s">
        <v>101</v>
      </c>
      <c r="J113" s="5">
        <v>2149194</v>
      </c>
      <c r="K113" s="5">
        <v>28057</v>
      </c>
      <c r="L113" s="5">
        <v>4646661</v>
      </c>
      <c r="M113" s="5">
        <v>31560</v>
      </c>
      <c r="N113" s="7" t="s">
        <v>130</v>
      </c>
      <c r="O113" s="7" t="s">
        <v>394</v>
      </c>
      <c r="P113" s="11">
        <v>45322</v>
      </c>
      <c r="Q113" s="2" t="str">
        <f t="shared" si="8"/>
        <v>45322下午班本地二区</v>
      </c>
      <c r="R113" s="2">
        <f t="shared" si="14"/>
        <v>4646661</v>
      </c>
      <c r="S113" s="2">
        <f t="shared" si="14"/>
        <v>31560</v>
      </c>
      <c r="T113" s="2" t="str">
        <f t="shared" si="10"/>
        <v>45322本地二区-下午班</v>
      </c>
      <c r="U113" s="2">
        <f t="shared" si="11"/>
        <v>6.7919699999999996E-3</v>
      </c>
      <c r="V113" s="2" t="str">
        <f t="shared" si="12"/>
        <v>赵依然</v>
      </c>
    </row>
    <row r="114" spans="1:22" ht="16.5" x14ac:dyDescent="0.4">
      <c r="A114" s="4" t="s">
        <v>93</v>
      </c>
      <c r="B114" s="70" t="s">
        <v>104</v>
      </c>
      <c r="C114" s="4" t="s">
        <v>110</v>
      </c>
      <c r="D114" s="4">
        <v>203</v>
      </c>
      <c r="E114" s="4">
        <v>120</v>
      </c>
      <c r="F114" s="5">
        <v>34236</v>
      </c>
      <c r="G114" s="5">
        <v>115970</v>
      </c>
      <c r="H114" s="6">
        <v>-81734</v>
      </c>
      <c r="I114" s="4" t="s">
        <v>101</v>
      </c>
      <c r="J114" s="5">
        <v>3727421</v>
      </c>
      <c r="K114" s="5">
        <v>34236</v>
      </c>
      <c r="L114" s="5">
        <v>8639568</v>
      </c>
      <c r="M114" s="5">
        <v>38064</v>
      </c>
      <c r="N114" s="7" t="s">
        <v>167</v>
      </c>
      <c r="O114" s="7" t="s">
        <v>396</v>
      </c>
      <c r="P114" s="11">
        <v>45323</v>
      </c>
      <c r="Q114" s="2" t="str">
        <f t="shared" si="8"/>
        <v>45323早班本地一区</v>
      </c>
      <c r="R114" s="2">
        <f t="shared" ref="R114:S129" si="15">L114</f>
        <v>8639568</v>
      </c>
      <c r="S114" s="2">
        <f t="shared" si="15"/>
        <v>38064</v>
      </c>
      <c r="T114" s="2" t="str">
        <f t="shared" si="10"/>
        <v>45323本地一区-早班</v>
      </c>
      <c r="U114" s="2">
        <f t="shared" si="11"/>
        <v>4.4057799999999998E-3</v>
      </c>
      <c r="V114" s="2" t="str">
        <f t="shared" si="12"/>
        <v>赵勇</v>
      </c>
    </row>
    <row r="115" spans="1:22" ht="16.5" x14ac:dyDescent="0.4">
      <c r="A115" s="4" t="s">
        <v>93</v>
      </c>
      <c r="B115" s="70" t="s">
        <v>105</v>
      </c>
      <c r="C115" s="4" t="s">
        <v>133</v>
      </c>
      <c r="D115" s="4">
        <v>190</v>
      </c>
      <c r="E115" s="4">
        <v>111</v>
      </c>
      <c r="F115" s="5">
        <v>22723</v>
      </c>
      <c r="G115" s="5">
        <v>93717</v>
      </c>
      <c r="H115" s="6">
        <v>-70994</v>
      </c>
      <c r="I115" s="4" t="s">
        <v>101</v>
      </c>
      <c r="J115" s="5">
        <v>3039636</v>
      </c>
      <c r="K115" s="5">
        <v>22723</v>
      </c>
      <c r="L115" s="5">
        <v>6133411</v>
      </c>
      <c r="M115" s="5">
        <v>25306</v>
      </c>
      <c r="N115" s="7" t="s">
        <v>277</v>
      </c>
      <c r="O115" s="7" t="s">
        <v>397</v>
      </c>
      <c r="P115" s="11">
        <v>45323</v>
      </c>
      <c r="Q115" s="2" t="str">
        <f t="shared" si="8"/>
        <v>45323早班本地二区</v>
      </c>
      <c r="R115" s="2">
        <f t="shared" si="15"/>
        <v>6133411</v>
      </c>
      <c r="S115" s="2">
        <f t="shared" si="15"/>
        <v>25306</v>
      </c>
      <c r="T115" s="2" t="str">
        <f t="shared" si="10"/>
        <v>45323本地二区-早班</v>
      </c>
      <c r="U115" s="2">
        <f t="shared" si="11"/>
        <v>4.1259299999999999E-3</v>
      </c>
      <c r="V115" s="2" t="str">
        <f t="shared" si="12"/>
        <v>林好男</v>
      </c>
    </row>
    <row r="116" spans="1:22" ht="16.5" x14ac:dyDescent="0.4">
      <c r="A116" s="4" t="s">
        <v>92</v>
      </c>
      <c r="B116" s="70" t="s">
        <v>178</v>
      </c>
      <c r="C116" s="4" t="s">
        <v>111</v>
      </c>
      <c r="D116" s="4">
        <v>177</v>
      </c>
      <c r="E116" s="4">
        <v>142</v>
      </c>
      <c r="F116" s="5">
        <v>67586</v>
      </c>
      <c r="G116" s="5">
        <v>209686</v>
      </c>
      <c r="H116" s="6">
        <v>-142100</v>
      </c>
      <c r="I116" s="4" t="s">
        <v>101</v>
      </c>
      <c r="J116" s="5">
        <v>8351304</v>
      </c>
      <c r="K116" s="5">
        <v>67586</v>
      </c>
      <c r="L116" s="5">
        <v>15550274</v>
      </c>
      <c r="M116" s="5">
        <v>73055</v>
      </c>
      <c r="N116" s="7" t="s">
        <v>395</v>
      </c>
      <c r="O116" s="7" t="s">
        <v>398</v>
      </c>
      <c r="P116" s="11">
        <v>45323</v>
      </c>
      <c r="Q116" s="2" t="str">
        <f t="shared" si="8"/>
        <v>45323下午班本地所有</v>
      </c>
      <c r="R116" s="2">
        <f t="shared" si="15"/>
        <v>15550274</v>
      </c>
      <c r="S116" s="2">
        <f t="shared" si="15"/>
        <v>73055</v>
      </c>
      <c r="T116" s="2" t="str">
        <f t="shared" si="10"/>
        <v>45323本地所有-下午班</v>
      </c>
      <c r="U116" s="2">
        <f t="shared" si="11"/>
        <v>4.69799E-3</v>
      </c>
      <c r="V116" s="2" t="str">
        <f t="shared" si="12"/>
        <v>陈楠</v>
      </c>
    </row>
    <row r="117" spans="1:22" ht="16.5" x14ac:dyDescent="0.4">
      <c r="A117" s="4" t="s">
        <v>93</v>
      </c>
      <c r="B117" s="70" t="s">
        <v>178</v>
      </c>
      <c r="C117" s="4" t="s">
        <v>122</v>
      </c>
      <c r="D117" s="4">
        <v>210</v>
      </c>
      <c r="E117" s="4">
        <v>117</v>
      </c>
      <c r="F117" s="5">
        <v>41710</v>
      </c>
      <c r="G117" s="5">
        <v>209686</v>
      </c>
      <c r="H117" s="6">
        <v>-167976</v>
      </c>
      <c r="I117" s="4" t="s">
        <v>101</v>
      </c>
      <c r="J117" s="5">
        <v>7494407</v>
      </c>
      <c r="K117" s="5">
        <v>41710</v>
      </c>
      <c r="L117" s="5">
        <v>11804691</v>
      </c>
      <c r="M117" s="5">
        <v>44031</v>
      </c>
      <c r="N117" s="7" t="s">
        <v>400</v>
      </c>
      <c r="O117" s="7" t="s">
        <v>401</v>
      </c>
      <c r="P117" s="11">
        <v>45324</v>
      </c>
      <c r="Q117" s="2" t="str">
        <f t="shared" si="8"/>
        <v>45324早班本地所有</v>
      </c>
      <c r="R117" s="2">
        <f t="shared" si="15"/>
        <v>11804691</v>
      </c>
      <c r="S117" s="2">
        <f t="shared" si="15"/>
        <v>44031</v>
      </c>
      <c r="T117" s="2" t="str">
        <f t="shared" si="10"/>
        <v>45324本地所有-早班</v>
      </c>
      <c r="U117" s="2">
        <f t="shared" si="11"/>
        <v>3.72996E-3</v>
      </c>
      <c r="V117" s="2" t="str">
        <f t="shared" si="12"/>
        <v>赵依然</v>
      </c>
    </row>
    <row r="118" spans="1:22" ht="16.5" x14ac:dyDescent="0.4">
      <c r="A118" s="4" t="s">
        <v>92</v>
      </c>
      <c r="B118" s="70" t="s">
        <v>104</v>
      </c>
      <c r="C118" s="4" t="s">
        <v>133</v>
      </c>
      <c r="D118" s="4">
        <v>210</v>
      </c>
      <c r="E118" s="4">
        <v>152</v>
      </c>
      <c r="F118" s="5">
        <v>56435</v>
      </c>
      <c r="G118" s="5">
        <v>115970</v>
      </c>
      <c r="H118" s="6">
        <v>-59535</v>
      </c>
      <c r="I118" s="4" t="s">
        <v>101</v>
      </c>
      <c r="J118" s="5">
        <v>6946168</v>
      </c>
      <c r="K118" s="5">
        <v>56435</v>
      </c>
      <c r="L118" s="5">
        <v>14202068</v>
      </c>
      <c r="M118" s="5">
        <v>66014</v>
      </c>
      <c r="N118" s="7" t="s">
        <v>395</v>
      </c>
      <c r="O118" s="7" t="s">
        <v>402</v>
      </c>
      <c r="P118" s="11">
        <v>45324</v>
      </c>
      <c r="Q118" s="2" t="str">
        <f t="shared" si="8"/>
        <v>45324下午班本地一区</v>
      </c>
      <c r="R118" s="2">
        <f t="shared" si="15"/>
        <v>14202068</v>
      </c>
      <c r="S118" s="2">
        <f t="shared" si="15"/>
        <v>66014</v>
      </c>
      <c r="T118" s="2" t="str">
        <f t="shared" si="10"/>
        <v>45324本地一区-下午班</v>
      </c>
      <c r="U118" s="2">
        <f t="shared" si="11"/>
        <v>4.6481999999999999E-3</v>
      </c>
      <c r="V118" s="2" t="str">
        <f t="shared" si="12"/>
        <v>林好男</v>
      </c>
    </row>
    <row r="119" spans="1:22" ht="16.5" x14ac:dyDescent="0.4">
      <c r="A119" s="4" t="s">
        <v>92</v>
      </c>
      <c r="B119" s="70" t="s">
        <v>105</v>
      </c>
      <c r="C119" s="4" t="s">
        <v>110</v>
      </c>
      <c r="D119" s="4">
        <v>195</v>
      </c>
      <c r="E119" s="4">
        <v>118</v>
      </c>
      <c r="F119" s="5">
        <v>35214</v>
      </c>
      <c r="G119" s="5">
        <v>93717</v>
      </c>
      <c r="H119" s="6">
        <v>-58503</v>
      </c>
      <c r="I119" s="4" t="s">
        <v>101</v>
      </c>
      <c r="J119" s="5">
        <v>2431548</v>
      </c>
      <c r="K119" s="5">
        <v>35214</v>
      </c>
      <c r="L119" s="5">
        <v>5761599</v>
      </c>
      <c r="M119" s="5">
        <v>39884</v>
      </c>
      <c r="N119" s="7" t="s">
        <v>399</v>
      </c>
      <c r="O119" s="7" t="s">
        <v>403</v>
      </c>
      <c r="P119" s="11">
        <v>45324</v>
      </c>
      <c r="Q119" s="2" t="str">
        <f t="shared" si="8"/>
        <v>45324下午班本地二区</v>
      </c>
      <c r="R119" s="2">
        <f t="shared" si="15"/>
        <v>5761599</v>
      </c>
      <c r="S119" s="2">
        <f t="shared" si="15"/>
        <v>39884</v>
      </c>
      <c r="T119" s="2" t="str">
        <f t="shared" si="10"/>
        <v>45324本地二区-下午班</v>
      </c>
      <c r="U119" s="2">
        <f t="shared" si="11"/>
        <v>6.9223799999999997E-3</v>
      </c>
      <c r="V119" s="2" t="str">
        <f t="shared" si="12"/>
        <v>赵勇</v>
      </c>
    </row>
    <row r="120" spans="1:22" ht="16.5" x14ac:dyDescent="0.4">
      <c r="A120" s="4" t="s">
        <v>93</v>
      </c>
      <c r="B120" s="70" t="s">
        <v>178</v>
      </c>
      <c r="C120" s="4" t="s">
        <v>122</v>
      </c>
      <c r="D120" s="4">
        <v>210</v>
      </c>
      <c r="E120" s="4">
        <v>115</v>
      </c>
      <c r="F120" s="5">
        <v>43211</v>
      </c>
      <c r="G120" s="5">
        <v>209686</v>
      </c>
      <c r="H120" s="6">
        <v>-166475</v>
      </c>
      <c r="I120" s="4" t="s">
        <v>101</v>
      </c>
      <c r="J120" s="5">
        <v>8213772</v>
      </c>
      <c r="K120" s="5">
        <v>43211</v>
      </c>
      <c r="L120" s="5">
        <v>13056801</v>
      </c>
      <c r="M120" s="5">
        <v>46288</v>
      </c>
      <c r="N120" s="7" t="s">
        <v>283</v>
      </c>
      <c r="O120" s="7" t="s">
        <v>404</v>
      </c>
      <c r="P120" s="11">
        <v>45325</v>
      </c>
      <c r="Q120" s="2" t="str">
        <f t="shared" si="8"/>
        <v>45325早班本地所有</v>
      </c>
      <c r="R120" s="2">
        <f t="shared" si="15"/>
        <v>13056801</v>
      </c>
      <c r="S120" s="2">
        <f t="shared" si="15"/>
        <v>46288</v>
      </c>
      <c r="T120" s="2" t="str">
        <f t="shared" si="10"/>
        <v>45325本地所有-早班</v>
      </c>
      <c r="U120" s="2">
        <f t="shared" si="11"/>
        <v>3.5451300000000001E-3</v>
      </c>
      <c r="V120" s="2" t="str">
        <f t="shared" si="12"/>
        <v>赵依然</v>
      </c>
    </row>
    <row r="121" spans="1:22" ht="16.5" x14ac:dyDescent="0.4">
      <c r="A121" s="4" t="s">
        <v>92</v>
      </c>
      <c r="B121" s="70" t="s">
        <v>104</v>
      </c>
      <c r="C121" s="4" t="s">
        <v>158</v>
      </c>
      <c r="D121" s="4">
        <v>173</v>
      </c>
      <c r="E121" s="4">
        <v>103</v>
      </c>
      <c r="F121" s="5">
        <v>38954</v>
      </c>
      <c r="G121" s="5">
        <v>115970</v>
      </c>
      <c r="H121" s="6">
        <v>-77016</v>
      </c>
      <c r="I121" s="4" t="s">
        <v>101</v>
      </c>
      <c r="J121" s="5">
        <v>2926988</v>
      </c>
      <c r="K121" s="5">
        <v>38954</v>
      </c>
      <c r="L121" s="5">
        <v>6092201</v>
      </c>
      <c r="M121" s="5">
        <v>43681</v>
      </c>
      <c r="N121" s="7" t="s">
        <v>405</v>
      </c>
      <c r="O121" s="7" t="s">
        <v>406</v>
      </c>
      <c r="P121" s="11">
        <v>45325</v>
      </c>
      <c r="Q121" s="2" t="str">
        <f t="shared" si="8"/>
        <v>45325下午班本地一区</v>
      </c>
      <c r="R121" s="2">
        <f t="shared" si="15"/>
        <v>6092201</v>
      </c>
      <c r="S121" s="2">
        <f t="shared" si="15"/>
        <v>43681</v>
      </c>
      <c r="T121" s="2" t="str">
        <f t="shared" si="10"/>
        <v>45325本地一区-下午班</v>
      </c>
      <c r="U121" s="2">
        <f t="shared" si="11"/>
        <v>7.1699900000000002E-3</v>
      </c>
      <c r="V121" s="2" t="str">
        <f t="shared" si="12"/>
        <v>李晓晗</v>
      </c>
    </row>
    <row r="122" spans="1:22" ht="16.5" x14ac:dyDescent="0.4">
      <c r="A122" s="4" t="s">
        <v>92</v>
      </c>
      <c r="B122" s="70" t="s">
        <v>105</v>
      </c>
      <c r="C122" s="4" t="s">
        <v>111</v>
      </c>
      <c r="D122" s="4">
        <v>155</v>
      </c>
      <c r="E122" s="4">
        <v>108</v>
      </c>
      <c r="F122" s="5">
        <v>40606</v>
      </c>
      <c r="G122" s="5">
        <v>93717</v>
      </c>
      <c r="H122" s="6">
        <v>-53111</v>
      </c>
      <c r="I122" s="4" t="s">
        <v>101</v>
      </c>
      <c r="J122" s="5">
        <v>8076767</v>
      </c>
      <c r="K122" s="5">
        <v>40606</v>
      </c>
      <c r="L122" s="5">
        <v>11301643</v>
      </c>
      <c r="M122" s="5">
        <v>43041</v>
      </c>
      <c r="N122" s="7" t="s">
        <v>407</v>
      </c>
      <c r="O122" s="7" t="s">
        <v>408</v>
      </c>
      <c r="P122" s="11">
        <v>45325</v>
      </c>
      <c r="Q122" s="2" t="str">
        <f t="shared" si="8"/>
        <v>45325下午班本地二区</v>
      </c>
      <c r="R122" s="2">
        <f t="shared" si="15"/>
        <v>11301643</v>
      </c>
      <c r="S122" s="2">
        <f t="shared" si="15"/>
        <v>43041</v>
      </c>
      <c r="T122" s="2" t="str">
        <f t="shared" si="10"/>
        <v>45325本地二区-下午班</v>
      </c>
      <c r="U122" s="2">
        <f t="shared" si="11"/>
        <v>3.8083800000000001E-3</v>
      </c>
      <c r="V122" s="2" t="str">
        <f t="shared" si="12"/>
        <v>陈楠</v>
      </c>
    </row>
    <row r="123" spans="1:22" ht="16.5" x14ac:dyDescent="0.4">
      <c r="A123" s="4" t="s">
        <v>93</v>
      </c>
      <c r="B123" s="70" t="s">
        <v>104</v>
      </c>
      <c r="C123" s="4" t="s">
        <v>122</v>
      </c>
      <c r="D123" s="4">
        <v>190</v>
      </c>
      <c r="E123" s="4">
        <v>112</v>
      </c>
      <c r="F123" s="5">
        <v>34523</v>
      </c>
      <c r="G123" s="5">
        <v>115970</v>
      </c>
      <c r="H123" s="6">
        <v>-81447</v>
      </c>
      <c r="I123" s="4" t="s">
        <v>101</v>
      </c>
      <c r="J123" s="5">
        <v>4349090</v>
      </c>
      <c r="K123" s="5">
        <v>34523</v>
      </c>
      <c r="L123" s="5">
        <v>11022277</v>
      </c>
      <c r="M123" s="5">
        <v>37926</v>
      </c>
      <c r="N123" s="7" t="s">
        <v>317</v>
      </c>
      <c r="O123" s="7" t="s">
        <v>416</v>
      </c>
      <c r="P123" s="11">
        <v>45326</v>
      </c>
      <c r="Q123" s="2" t="str">
        <f t="shared" si="8"/>
        <v>45326早班本地一区</v>
      </c>
      <c r="R123" s="2">
        <f t="shared" si="15"/>
        <v>11022277</v>
      </c>
      <c r="S123" s="2">
        <f t="shared" si="15"/>
        <v>37926</v>
      </c>
      <c r="T123" s="2" t="str">
        <f t="shared" si="10"/>
        <v>45326本地一区-早班</v>
      </c>
      <c r="U123" s="2">
        <f t="shared" si="11"/>
        <v>3.4408500000000001E-3</v>
      </c>
      <c r="V123" s="2" t="str">
        <f t="shared" si="12"/>
        <v>赵依然</v>
      </c>
    </row>
    <row r="124" spans="1:22" ht="16.5" x14ac:dyDescent="0.4">
      <c r="A124" s="4" t="s">
        <v>93</v>
      </c>
      <c r="B124" s="70" t="s">
        <v>105</v>
      </c>
      <c r="C124" s="4" t="s">
        <v>110</v>
      </c>
      <c r="D124" s="4">
        <v>197</v>
      </c>
      <c r="E124" s="4">
        <v>121</v>
      </c>
      <c r="F124" s="5">
        <v>27432</v>
      </c>
      <c r="G124" s="5">
        <v>93717</v>
      </c>
      <c r="H124" s="6">
        <v>-66285</v>
      </c>
      <c r="I124" s="4" t="s">
        <v>101</v>
      </c>
      <c r="J124" s="5">
        <v>3385240</v>
      </c>
      <c r="K124" s="5">
        <v>27432</v>
      </c>
      <c r="L124" s="5">
        <v>8175621</v>
      </c>
      <c r="M124" s="5">
        <v>29881</v>
      </c>
      <c r="N124" s="7" t="s">
        <v>395</v>
      </c>
      <c r="O124" s="7" t="s">
        <v>417</v>
      </c>
      <c r="P124" s="11">
        <v>45326</v>
      </c>
      <c r="Q124" s="2" t="str">
        <f t="shared" si="8"/>
        <v>45326早班本地二区</v>
      </c>
      <c r="R124" s="2">
        <f t="shared" si="15"/>
        <v>8175621</v>
      </c>
      <c r="S124" s="2">
        <f t="shared" si="15"/>
        <v>29881</v>
      </c>
      <c r="T124" s="2" t="str">
        <f t="shared" si="10"/>
        <v>45326本地二区-早班</v>
      </c>
      <c r="U124" s="2">
        <f t="shared" si="11"/>
        <v>3.65489E-3</v>
      </c>
      <c r="V124" s="2" t="str">
        <f t="shared" si="12"/>
        <v>赵勇</v>
      </c>
    </row>
    <row r="125" spans="1:22" ht="16.5" x14ac:dyDescent="0.4">
      <c r="A125" s="4" t="s">
        <v>92</v>
      </c>
      <c r="B125" s="70" t="s">
        <v>178</v>
      </c>
      <c r="C125" s="4" t="s">
        <v>158</v>
      </c>
      <c r="D125" s="4">
        <v>197</v>
      </c>
      <c r="E125" s="4">
        <v>107</v>
      </c>
      <c r="F125" s="5">
        <v>64961</v>
      </c>
      <c r="G125" s="5">
        <v>209686</v>
      </c>
      <c r="H125" s="6">
        <v>-144725</v>
      </c>
      <c r="I125" s="4" t="s">
        <v>101</v>
      </c>
      <c r="J125" s="5">
        <v>5383003</v>
      </c>
      <c r="K125" s="5">
        <v>64961</v>
      </c>
      <c r="L125" s="5">
        <v>9304053</v>
      </c>
      <c r="M125" s="5">
        <v>70074</v>
      </c>
      <c r="N125" s="7" t="s">
        <v>409</v>
      </c>
      <c r="O125" s="7" t="s">
        <v>418</v>
      </c>
      <c r="P125" s="11">
        <v>45326</v>
      </c>
      <c r="Q125" s="2" t="str">
        <f t="shared" si="8"/>
        <v>45326下午班本地所有</v>
      </c>
      <c r="R125" s="2">
        <f t="shared" si="15"/>
        <v>9304053</v>
      </c>
      <c r="S125" s="2">
        <f t="shared" si="15"/>
        <v>70074</v>
      </c>
      <c r="T125" s="2" t="str">
        <f t="shared" si="10"/>
        <v>45326本地所有-下午班</v>
      </c>
      <c r="U125" s="2">
        <f t="shared" si="11"/>
        <v>7.5315599999999996E-3</v>
      </c>
      <c r="V125" s="2" t="str">
        <f t="shared" si="12"/>
        <v>李晓晗</v>
      </c>
    </row>
    <row r="126" spans="1:22" ht="16.5" x14ac:dyDescent="0.4">
      <c r="A126" s="4" t="s">
        <v>93</v>
      </c>
      <c r="B126" s="70" t="s">
        <v>104</v>
      </c>
      <c r="C126" s="4" t="s">
        <v>110</v>
      </c>
      <c r="D126" s="4">
        <v>192</v>
      </c>
      <c r="E126" s="4">
        <v>121</v>
      </c>
      <c r="F126" s="5">
        <v>34142</v>
      </c>
      <c r="G126" s="5">
        <v>115970</v>
      </c>
      <c r="H126" s="6">
        <v>-81828</v>
      </c>
      <c r="I126" s="4" t="s">
        <v>101</v>
      </c>
      <c r="J126" s="5">
        <v>5670674</v>
      </c>
      <c r="K126" s="5">
        <v>34142</v>
      </c>
      <c r="L126" s="5">
        <v>10088874</v>
      </c>
      <c r="M126" s="5">
        <v>37782</v>
      </c>
      <c r="N126" s="7" t="s">
        <v>413</v>
      </c>
      <c r="O126" s="7" t="s">
        <v>421</v>
      </c>
      <c r="P126" s="11">
        <v>45327</v>
      </c>
      <c r="Q126" s="2" t="str">
        <f t="shared" si="8"/>
        <v>45327早班本地一区</v>
      </c>
      <c r="R126" s="2">
        <f t="shared" si="15"/>
        <v>10088874</v>
      </c>
      <c r="S126" s="2">
        <f t="shared" si="15"/>
        <v>37782</v>
      </c>
      <c r="T126" s="2" t="str">
        <f t="shared" si="10"/>
        <v>45327本地一区-早班</v>
      </c>
      <c r="U126" s="2">
        <f t="shared" si="11"/>
        <v>3.7449200000000001E-3</v>
      </c>
      <c r="V126" s="2" t="str">
        <f t="shared" si="12"/>
        <v>赵勇</v>
      </c>
    </row>
    <row r="127" spans="1:22" ht="16.5" x14ac:dyDescent="0.4">
      <c r="A127" s="4" t="s">
        <v>93</v>
      </c>
      <c r="B127" s="70" t="s">
        <v>105</v>
      </c>
      <c r="C127" s="4" t="s">
        <v>111</v>
      </c>
      <c r="D127" s="4">
        <v>152</v>
      </c>
      <c r="E127" s="4">
        <v>104</v>
      </c>
      <c r="F127" s="5">
        <v>28995</v>
      </c>
      <c r="G127" s="5">
        <v>93717</v>
      </c>
      <c r="H127" s="6">
        <v>-64722</v>
      </c>
      <c r="I127" s="4" t="s">
        <v>101</v>
      </c>
      <c r="J127" s="5">
        <v>7515618</v>
      </c>
      <c r="K127" s="5">
        <v>28995</v>
      </c>
      <c r="L127" s="5">
        <v>11035604</v>
      </c>
      <c r="M127" s="5">
        <v>30188</v>
      </c>
      <c r="N127" s="7" t="s">
        <v>415</v>
      </c>
      <c r="O127" s="7" t="s">
        <v>422</v>
      </c>
      <c r="P127" s="11">
        <v>45327</v>
      </c>
      <c r="Q127" s="2" t="str">
        <f t="shared" si="8"/>
        <v>45327早班本地二区</v>
      </c>
      <c r="R127" s="2">
        <f t="shared" si="15"/>
        <v>11035604</v>
      </c>
      <c r="S127" s="2">
        <f t="shared" si="15"/>
        <v>30188</v>
      </c>
      <c r="T127" s="2" t="str">
        <f t="shared" si="10"/>
        <v>45327本地二区-早班</v>
      </c>
      <c r="U127" s="2">
        <f t="shared" si="11"/>
        <v>2.73551E-3</v>
      </c>
      <c r="V127" s="2" t="str">
        <f t="shared" si="12"/>
        <v>陈楠</v>
      </c>
    </row>
    <row r="128" spans="1:22" ht="16.5" x14ac:dyDescent="0.4">
      <c r="A128" s="4" t="s">
        <v>92</v>
      </c>
      <c r="B128" s="70" t="s">
        <v>178</v>
      </c>
      <c r="C128" s="4" t="s">
        <v>158</v>
      </c>
      <c r="D128" s="4">
        <v>202</v>
      </c>
      <c r="E128" s="4">
        <v>146</v>
      </c>
      <c r="F128" s="5">
        <v>64370</v>
      </c>
      <c r="G128" s="5">
        <v>209686</v>
      </c>
      <c r="H128" s="6">
        <v>-145316</v>
      </c>
      <c r="I128" s="4" t="s">
        <v>101</v>
      </c>
      <c r="J128" s="5">
        <v>5333234</v>
      </c>
      <c r="K128" s="5">
        <v>64370</v>
      </c>
      <c r="L128" s="5">
        <v>10018689</v>
      </c>
      <c r="M128" s="5">
        <v>70385</v>
      </c>
      <c r="N128" s="7" t="s">
        <v>409</v>
      </c>
      <c r="O128" s="7" t="s">
        <v>423</v>
      </c>
      <c r="P128" s="11">
        <v>45327</v>
      </c>
      <c r="Q128" s="2" t="str">
        <f t="shared" si="8"/>
        <v>45327下午班本地所有</v>
      </c>
      <c r="R128" s="2">
        <f t="shared" si="15"/>
        <v>10018689</v>
      </c>
      <c r="S128" s="2">
        <f t="shared" si="15"/>
        <v>70385</v>
      </c>
      <c r="T128" s="2" t="str">
        <f t="shared" si="10"/>
        <v>45327本地所有-下午班</v>
      </c>
      <c r="U128" s="2">
        <f t="shared" si="11"/>
        <v>7.0253700000000004E-3</v>
      </c>
      <c r="V128" s="2" t="str">
        <f t="shared" si="12"/>
        <v>李晓晗</v>
      </c>
    </row>
    <row r="129" spans="1:22" ht="16.5" x14ac:dyDescent="0.4">
      <c r="A129" s="4" t="s">
        <v>93</v>
      </c>
      <c r="B129" s="70" t="s">
        <v>104</v>
      </c>
      <c r="C129" s="4" t="s">
        <v>110</v>
      </c>
      <c r="D129" s="4">
        <v>208</v>
      </c>
      <c r="E129" s="4">
        <v>143</v>
      </c>
      <c r="F129" s="5">
        <v>31692</v>
      </c>
      <c r="G129" s="5">
        <v>115970</v>
      </c>
      <c r="H129" s="6">
        <v>-84278</v>
      </c>
      <c r="I129" s="4" t="s">
        <v>101</v>
      </c>
      <c r="J129" s="5">
        <v>4068398</v>
      </c>
      <c r="K129" s="5">
        <v>31692</v>
      </c>
      <c r="L129" s="5">
        <v>8919260</v>
      </c>
      <c r="M129" s="5">
        <v>35698</v>
      </c>
      <c r="N129" s="7" t="s">
        <v>410</v>
      </c>
      <c r="O129" s="7" t="s">
        <v>425</v>
      </c>
      <c r="P129" s="11">
        <v>45328</v>
      </c>
      <c r="Q129" s="2" t="str">
        <f t="shared" si="8"/>
        <v>45328早班本地一区</v>
      </c>
      <c r="R129" s="2">
        <f t="shared" si="15"/>
        <v>8919260</v>
      </c>
      <c r="S129" s="2">
        <f t="shared" si="15"/>
        <v>35698</v>
      </c>
      <c r="T129" s="2" t="str">
        <f t="shared" si="10"/>
        <v>45328本地一区-早班</v>
      </c>
      <c r="U129" s="2">
        <f t="shared" si="11"/>
        <v>4.00235E-3</v>
      </c>
      <c r="V129" s="2" t="str">
        <f t="shared" si="12"/>
        <v>赵勇</v>
      </c>
    </row>
    <row r="130" spans="1:22" ht="16.5" x14ac:dyDescent="0.4">
      <c r="A130" s="4" t="s">
        <v>93</v>
      </c>
      <c r="B130" s="70" t="s">
        <v>105</v>
      </c>
      <c r="C130" s="4" t="s">
        <v>111</v>
      </c>
      <c r="D130" s="4">
        <v>152</v>
      </c>
      <c r="E130" s="4">
        <v>114</v>
      </c>
      <c r="F130" s="5">
        <v>34579</v>
      </c>
      <c r="G130" s="5">
        <v>93717</v>
      </c>
      <c r="H130" s="6">
        <v>-59138</v>
      </c>
      <c r="I130" s="4" t="s">
        <v>101</v>
      </c>
      <c r="J130" s="5">
        <v>7765443</v>
      </c>
      <c r="K130" s="5">
        <v>34579</v>
      </c>
      <c r="L130" s="5">
        <v>13058710</v>
      </c>
      <c r="M130" s="5">
        <v>35960</v>
      </c>
      <c r="N130" s="7" t="s">
        <v>420</v>
      </c>
      <c r="O130" s="7" t="s">
        <v>426</v>
      </c>
      <c r="P130" s="11">
        <v>45328</v>
      </c>
      <c r="Q130" s="2" t="str">
        <f t="shared" ref="Q130:Q193" si="16">P130&amp;A130&amp;B130</f>
        <v>45328早班本地二区</v>
      </c>
      <c r="R130" s="2">
        <f t="shared" ref="R130:S145" si="17">L130</f>
        <v>13058710</v>
      </c>
      <c r="S130" s="2">
        <f t="shared" si="17"/>
        <v>35960</v>
      </c>
      <c r="T130" s="2" t="str">
        <f t="shared" ref="T130:T193" si="18">P130&amp;B130&amp;"-"&amp;A130</f>
        <v>45328本地二区-早班</v>
      </c>
      <c r="U130" s="2">
        <f t="shared" ref="U130:U193" si="19">O130*1</f>
        <v>2.7537199999999999E-3</v>
      </c>
      <c r="V130" s="2" t="str">
        <f t="shared" ref="V130:V193" si="20">C130</f>
        <v>陈楠</v>
      </c>
    </row>
    <row r="131" spans="1:22" ht="16.5" x14ac:dyDescent="0.4">
      <c r="A131" s="4" t="s">
        <v>92</v>
      </c>
      <c r="B131" s="70" t="s">
        <v>178</v>
      </c>
      <c r="C131" s="4" t="s">
        <v>122</v>
      </c>
      <c r="D131" s="4">
        <v>196</v>
      </c>
      <c r="E131" s="4">
        <v>96</v>
      </c>
      <c r="F131" s="5">
        <v>44397</v>
      </c>
      <c r="G131" s="5">
        <v>209686</v>
      </c>
      <c r="H131" s="6">
        <v>-165289</v>
      </c>
      <c r="I131" s="4" t="s">
        <v>101</v>
      </c>
      <c r="J131" s="5">
        <v>5010733</v>
      </c>
      <c r="K131" s="5">
        <v>44397</v>
      </c>
      <c r="L131" s="5">
        <v>8908870</v>
      </c>
      <c r="M131" s="5">
        <v>50085</v>
      </c>
      <c r="N131" s="7" t="s">
        <v>424</v>
      </c>
      <c r="O131" s="7" t="s">
        <v>427</v>
      </c>
      <c r="P131" s="11">
        <v>45328</v>
      </c>
      <c r="Q131" s="2" t="str">
        <f t="shared" si="16"/>
        <v>45328下午班本地所有</v>
      </c>
      <c r="R131" s="2">
        <f t="shared" si="17"/>
        <v>8908870</v>
      </c>
      <c r="S131" s="2">
        <f t="shared" si="17"/>
        <v>50085</v>
      </c>
      <c r="T131" s="2" t="str">
        <f t="shared" si="18"/>
        <v>45328本地所有-下午班</v>
      </c>
      <c r="U131" s="2">
        <f t="shared" si="19"/>
        <v>5.6219299999999998E-3</v>
      </c>
      <c r="V131" s="2" t="str">
        <f t="shared" si="20"/>
        <v>赵依然</v>
      </c>
    </row>
    <row r="132" spans="1:22" ht="16.5" x14ac:dyDescent="0.4">
      <c r="A132" s="4" t="s">
        <v>93</v>
      </c>
      <c r="B132" s="70" t="s">
        <v>178</v>
      </c>
      <c r="C132" s="4" t="s">
        <v>111</v>
      </c>
      <c r="D132" s="4">
        <v>175</v>
      </c>
      <c r="E132" s="4">
        <v>129</v>
      </c>
      <c r="F132" s="5">
        <v>28197</v>
      </c>
      <c r="G132" s="5">
        <v>209686</v>
      </c>
      <c r="H132" s="6">
        <v>-181489</v>
      </c>
      <c r="I132" s="4" t="s">
        <v>101</v>
      </c>
      <c r="J132" s="5">
        <v>1995448</v>
      </c>
      <c r="K132" s="5">
        <v>28197</v>
      </c>
      <c r="L132" s="5">
        <v>5803277</v>
      </c>
      <c r="M132" s="5">
        <v>29577</v>
      </c>
      <c r="N132" s="7" t="s">
        <v>429</v>
      </c>
      <c r="O132" s="7" t="s">
        <v>430</v>
      </c>
      <c r="P132" s="11">
        <v>45329</v>
      </c>
      <c r="Q132" s="2" t="str">
        <f t="shared" si="16"/>
        <v>45329早班本地所有</v>
      </c>
      <c r="R132" s="2">
        <f t="shared" si="17"/>
        <v>5803277</v>
      </c>
      <c r="S132" s="2">
        <f t="shared" si="17"/>
        <v>29577</v>
      </c>
      <c r="T132" s="2" t="str">
        <f t="shared" si="18"/>
        <v>45329本地所有-早班</v>
      </c>
      <c r="U132" s="2">
        <f t="shared" si="19"/>
        <v>5.0965999999999997E-3</v>
      </c>
      <c r="V132" s="2" t="str">
        <f t="shared" si="20"/>
        <v>陈楠</v>
      </c>
    </row>
    <row r="133" spans="1:22" ht="16.5" x14ac:dyDescent="0.4">
      <c r="A133" s="4" t="s">
        <v>92</v>
      </c>
      <c r="B133" s="70" t="s">
        <v>104</v>
      </c>
      <c r="C133" s="4" t="s">
        <v>133</v>
      </c>
      <c r="D133" s="4">
        <v>159</v>
      </c>
      <c r="E133" s="4">
        <v>114</v>
      </c>
      <c r="F133" s="5">
        <v>37758</v>
      </c>
      <c r="G133" s="5">
        <v>115970</v>
      </c>
      <c r="H133" s="6">
        <v>-78212</v>
      </c>
      <c r="I133" s="4" t="s">
        <v>101</v>
      </c>
      <c r="J133" s="5">
        <v>2635008</v>
      </c>
      <c r="K133" s="5">
        <v>37758</v>
      </c>
      <c r="L133" s="5">
        <v>6783858</v>
      </c>
      <c r="M133" s="5">
        <v>46141</v>
      </c>
      <c r="N133" s="7" t="s">
        <v>428</v>
      </c>
      <c r="O133" s="7" t="s">
        <v>431</v>
      </c>
      <c r="P133" s="11">
        <v>45329</v>
      </c>
      <c r="Q133" s="2" t="str">
        <f t="shared" si="16"/>
        <v>45329下午班本地一区</v>
      </c>
      <c r="R133" s="2">
        <f t="shared" si="17"/>
        <v>6783858</v>
      </c>
      <c r="S133" s="2">
        <f t="shared" si="17"/>
        <v>46141</v>
      </c>
      <c r="T133" s="2" t="str">
        <f t="shared" si="18"/>
        <v>45329本地一区-下午班</v>
      </c>
      <c r="U133" s="2">
        <f t="shared" si="19"/>
        <v>6.8015899999999997E-3</v>
      </c>
      <c r="V133" s="2" t="str">
        <f t="shared" si="20"/>
        <v>林好男</v>
      </c>
    </row>
    <row r="134" spans="1:22" ht="16.5" x14ac:dyDescent="0.4">
      <c r="A134" s="4" t="s">
        <v>92</v>
      </c>
      <c r="B134" s="70" t="s">
        <v>105</v>
      </c>
      <c r="C134" s="4" t="s">
        <v>122</v>
      </c>
      <c r="D134" s="4">
        <v>152</v>
      </c>
      <c r="E134" s="4">
        <v>101</v>
      </c>
      <c r="F134" s="5">
        <v>31165</v>
      </c>
      <c r="G134" s="5">
        <v>93717</v>
      </c>
      <c r="H134" s="6">
        <v>-62552</v>
      </c>
      <c r="I134" s="4" t="s">
        <v>101</v>
      </c>
      <c r="J134" s="5">
        <v>6602681</v>
      </c>
      <c r="K134" s="5">
        <v>31165</v>
      </c>
      <c r="L134" s="5">
        <v>10108188</v>
      </c>
      <c r="M134" s="5">
        <v>34021</v>
      </c>
      <c r="N134" s="7" t="s">
        <v>370</v>
      </c>
      <c r="O134" s="7" t="s">
        <v>432</v>
      </c>
      <c r="P134" s="11">
        <v>45329</v>
      </c>
      <c r="Q134" s="2" t="str">
        <f t="shared" si="16"/>
        <v>45329下午班本地二区</v>
      </c>
      <c r="R134" s="2">
        <f t="shared" si="17"/>
        <v>10108188</v>
      </c>
      <c r="S134" s="2">
        <f t="shared" si="17"/>
        <v>34021</v>
      </c>
      <c r="T134" s="2" t="str">
        <f t="shared" si="18"/>
        <v>45329本地二区-下午班</v>
      </c>
      <c r="U134" s="2">
        <f t="shared" si="19"/>
        <v>3.3656900000000002E-3</v>
      </c>
      <c r="V134" s="2" t="str">
        <f t="shared" si="20"/>
        <v>赵依然</v>
      </c>
    </row>
    <row r="135" spans="1:22" ht="16.5" x14ac:dyDescent="0.4">
      <c r="A135" s="4" t="s">
        <v>93</v>
      </c>
      <c r="B135" s="70" t="s">
        <v>178</v>
      </c>
      <c r="C135" s="4" t="s">
        <v>111</v>
      </c>
      <c r="D135" s="4">
        <v>179</v>
      </c>
      <c r="E135" s="4">
        <v>143</v>
      </c>
      <c r="F135" s="5">
        <v>33755</v>
      </c>
      <c r="G135" s="5">
        <v>209686</v>
      </c>
      <c r="H135" s="6">
        <v>-175931</v>
      </c>
      <c r="I135" s="4" t="s">
        <v>101</v>
      </c>
      <c r="J135" s="5">
        <v>5334739</v>
      </c>
      <c r="K135" s="5">
        <v>33755</v>
      </c>
      <c r="L135" s="5">
        <v>12578982</v>
      </c>
      <c r="M135" s="5">
        <v>36232</v>
      </c>
      <c r="N135" s="7" t="s">
        <v>389</v>
      </c>
      <c r="O135" s="7" t="s">
        <v>433</v>
      </c>
      <c r="P135" s="11">
        <v>45330</v>
      </c>
      <c r="Q135" s="2" t="str">
        <f t="shared" si="16"/>
        <v>45330早班本地所有</v>
      </c>
      <c r="R135" s="2">
        <f t="shared" si="17"/>
        <v>12578982</v>
      </c>
      <c r="S135" s="2">
        <f t="shared" si="17"/>
        <v>36232</v>
      </c>
      <c r="T135" s="2" t="str">
        <f t="shared" si="18"/>
        <v>45330本地所有-早班</v>
      </c>
      <c r="U135" s="2">
        <f t="shared" si="19"/>
        <v>2.8803600000000002E-3</v>
      </c>
      <c r="V135" s="2" t="str">
        <f t="shared" si="20"/>
        <v>陈楠</v>
      </c>
    </row>
    <row r="136" spans="1:22" ht="16.5" x14ac:dyDescent="0.4">
      <c r="A136" s="4" t="s">
        <v>92</v>
      </c>
      <c r="B136" s="70" t="s">
        <v>104</v>
      </c>
      <c r="C136" s="4" t="s">
        <v>122</v>
      </c>
      <c r="D136" s="4">
        <v>160</v>
      </c>
      <c r="E136" s="4">
        <v>113</v>
      </c>
      <c r="F136" s="5">
        <v>41801</v>
      </c>
      <c r="G136" s="5">
        <v>115970</v>
      </c>
      <c r="H136" s="6">
        <v>-74169</v>
      </c>
      <c r="I136" s="4" t="s">
        <v>101</v>
      </c>
      <c r="J136" s="5">
        <v>6825023</v>
      </c>
      <c r="K136" s="5">
        <v>41801</v>
      </c>
      <c r="L136" s="5">
        <v>13385147</v>
      </c>
      <c r="M136" s="5">
        <v>46587</v>
      </c>
      <c r="N136" s="7" t="s">
        <v>412</v>
      </c>
      <c r="O136" s="7" t="s">
        <v>434</v>
      </c>
      <c r="P136" s="11">
        <v>45330</v>
      </c>
      <c r="Q136" s="2" t="str">
        <f t="shared" si="16"/>
        <v>45330下午班本地一区</v>
      </c>
      <c r="R136" s="2">
        <f t="shared" si="17"/>
        <v>13385147</v>
      </c>
      <c r="S136" s="2">
        <f t="shared" si="17"/>
        <v>46587</v>
      </c>
      <c r="T136" s="2" t="str">
        <f t="shared" si="18"/>
        <v>45330本地一区-下午班</v>
      </c>
      <c r="U136" s="2">
        <f t="shared" si="19"/>
        <v>3.4805000000000001E-3</v>
      </c>
      <c r="V136" s="2" t="str">
        <f t="shared" si="20"/>
        <v>赵依然</v>
      </c>
    </row>
    <row r="137" spans="1:22" ht="16.5" x14ac:dyDescent="0.4">
      <c r="A137" s="4" t="s">
        <v>92</v>
      </c>
      <c r="B137" s="70" t="s">
        <v>105</v>
      </c>
      <c r="C137" s="4" t="s">
        <v>158</v>
      </c>
      <c r="D137" s="4">
        <v>172</v>
      </c>
      <c r="E137" s="4">
        <v>107</v>
      </c>
      <c r="F137" s="5">
        <v>27220</v>
      </c>
      <c r="G137" s="5">
        <v>93717</v>
      </c>
      <c r="H137" s="6">
        <v>-66497</v>
      </c>
      <c r="I137" s="4" t="s">
        <v>101</v>
      </c>
      <c r="J137" s="5">
        <v>2455619</v>
      </c>
      <c r="K137" s="5">
        <v>27220</v>
      </c>
      <c r="L137" s="5">
        <v>4998162</v>
      </c>
      <c r="M137" s="5">
        <v>31039</v>
      </c>
      <c r="N137" s="7" t="s">
        <v>307</v>
      </c>
      <c r="O137" s="7" t="s">
        <v>435</v>
      </c>
      <c r="P137" s="11">
        <v>45330</v>
      </c>
      <c r="Q137" s="2" t="str">
        <f t="shared" si="16"/>
        <v>45330下午班本地二区</v>
      </c>
      <c r="R137" s="2">
        <f t="shared" si="17"/>
        <v>4998162</v>
      </c>
      <c r="S137" s="2">
        <f t="shared" si="17"/>
        <v>31039</v>
      </c>
      <c r="T137" s="2" t="str">
        <f t="shared" si="18"/>
        <v>45330本地二区-下午班</v>
      </c>
      <c r="U137" s="2">
        <f t="shared" si="19"/>
        <v>6.2100799999999998E-3</v>
      </c>
      <c r="V137" s="2" t="str">
        <f t="shared" si="20"/>
        <v>李晓晗</v>
      </c>
    </row>
    <row r="138" spans="1:22" ht="16.5" x14ac:dyDescent="0.4">
      <c r="A138" s="4" t="s">
        <v>93</v>
      </c>
      <c r="B138" s="70" t="s">
        <v>178</v>
      </c>
      <c r="C138" s="4" t="s">
        <v>133</v>
      </c>
      <c r="D138" s="4">
        <v>168</v>
      </c>
      <c r="E138" s="4">
        <v>123</v>
      </c>
      <c r="F138" s="5">
        <v>32220</v>
      </c>
      <c r="G138" s="5">
        <v>209686</v>
      </c>
      <c r="H138" s="6">
        <v>-177466</v>
      </c>
      <c r="I138" s="4" t="s">
        <v>101</v>
      </c>
      <c r="J138" s="5">
        <v>4824821</v>
      </c>
      <c r="K138" s="5">
        <v>32220</v>
      </c>
      <c r="L138" s="5">
        <v>9226444</v>
      </c>
      <c r="M138" s="5">
        <v>34175</v>
      </c>
      <c r="N138" s="7" t="s">
        <v>299</v>
      </c>
      <c r="O138" s="7" t="s">
        <v>436</v>
      </c>
      <c r="P138" s="11">
        <v>45331</v>
      </c>
      <c r="Q138" s="2" t="str">
        <f t="shared" si="16"/>
        <v>45331早班本地所有</v>
      </c>
      <c r="R138" s="2">
        <f t="shared" si="17"/>
        <v>9226444</v>
      </c>
      <c r="S138" s="2">
        <f t="shared" si="17"/>
        <v>34175</v>
      </c>
      <c r="T138" s="2" t="str">
        <f t="shared" si="18"/>
        <v>45331本地所有-早班</v>
      </c>
      <c r="U138" s="2">
        <f t="shared" si="19"/>
        <v>3.7040300000000001E-3</v>
      </c>
      <c r="V138" s="2" t="str">
        <f t="shared" si="20"/>
        <v>林好男</v>
      </c>
    </row>
    <row r="139" spans="1:22" ht="16.5" x14ac:dyDescent="0.4">
      <c r="A139" s="4" t="s">
        <v>92</v>
      </c>
      <c r="B139" s="70" t="s">
        <v>178</v>
      </c>
      <c r="C139" s="4" t="s">
        <v>158</v>
      </c>
      <c r="D139" s="4">
        <v>188</v>
      </c>
      <c r="E139" s="4">
        <v>139</v>
      </c>
      <c r="F139" s="5">
        <v>42726</v>
      </c>
      <c r="G139" s="5">
        <v>209686</v>
      </c>
      <c r="H139" s="6">
        <v>-166960</v>
      </c>
      <c r="I139" s="4" t="s">
        <v>101</v>
      </c>
      <c r="J139" s="5">
        <v>5306314</v>
      </c>
      <c r="K139" s="5">
        <v>42726</v>
      </c>
      <c r="L139" s="5">
        <v>9034078</v>
      </c>
      <c r="M139" s="5">
        <v>46750</v>
      </c>
      <c r="N139" s="7" t="s">
        <v>395</v>
      </c>
      <c r="O139" s="7" t="s">
        <v>437</v>
      </c>
      <c r="P139" s="11">
        <v>45331</v>
      </c>
      <c r="Q139" s="2" t="str">
        <f t="shared" si="16"/>
        <v>45331下午班本地所有</v>
      </c>
      <c r="R139" s="2">
        <f t="shared" si="17"/>
        <v>9034078</v>
      </c>
      <c r="S139" s="2">
        <f t="shared" si="17"/>
        <v>46750</v>
      </c>
      <c r="T139" s="2" t="str">
        <f t="shared" si="18"/>
        <v>45331本地所有-下午班</v>
      </c>
      <c r="U139" s="2">
        <f t="shared" si="19"/>
        <v>5.1748499999999999E-3</v>
      </c>
      <c r="V139" s="2" t="str">
        <f t="shared" si="20"/>
        <v>李晓晗</v>
      </c>
    </row>
    <row r="140" spans="1:22" ht="16.5" x14ac:dyDescent="0.4">
      <c r="A140" s="4" t="s">
        <v>93</v>
      </c>
      <c r="B140" s="70" t="s">
        <v>104</v>
      </c>
      <c r="C140" s="4" t="s">
        <v>110</v>
      </c>
      <c r="D140" s="4">
        <v>153</v>
      </c>
      <c r="E140" s="4">
        <v>104</v>
      </c>
      <c r="F140" s="5">
        <v>23936</v>
      </c>
      <c r="G140" s="5">
        <v>115970</v>
      </c>
      <c r="H140" s="6">
        <v>-92034</v>
      </c>
      <c r="I140" s="4" t="s">
        <v>101</v>
      </c>
      <c r="J140" s="5">
        <v>3839780</v>
      </c>
      <c r="K140" s="5">
        <v>23936</v>
      </c>
      <c r="L140" s="5">
        <v>7717623</v>
      </c>
      <c r="M140" s="5">
        <v>25566</v>
      </c>
      <c r="N140" s="7" t="s">
        <v>411</v>
      </c>
      <c r="O140" s="7" t="s">
        <v>439</v>
      </c>
      <c r="P140" s="11">
        <v>45332</v>
      </c>
      <c r="Q140" s="2" t="str">
        <f t="shared" si="16"/>
        <v>45332早班本地一区</v>
      </c>
      <c r="R140" s="2">
        <f t="shared" si="17"/>
        <v>7717623</v>
      </c>
      <c r="S140" s="2">
        <f t="shared" si="17"/>
        <v>25566</v>
      </c>
      <c r="T140" s="2" t="str">
        <f t="shared" si="18"/>
        <v>45332本地一区-早班</v>
      </c>
      <c r="U140" s="2">
        <f t="shared" si="19"/>
        <v>3.3126800000000001E-3</v>
      </c>
      <c r="V140" s="2" t="str">
        <f t="shared" si="20"/>
        <v>赵勇</v>
      </c>
    </row>
    <row r="141" spans="1:22" ht="16.5" x14ac:dyDescent="0.4">
      <c r="A141" s="4" t="s">
        <v>93</v>
      </c>
      <c r="B141" s="70" t="s">
        <v>105</v>
      </c>
      <c r="C141" s="4" t="s">
        <v>111</v>
      </c>
      <c r="D141" s="4">
        <v>152</v>
      </c>
      <c r="E141" s="4">
        <v>107</v>
      </c>
      <c r="F141" s="5">
        <v>18075</v>
      </c>
      <c r="G141" s="5">
        <v>93717</v>
      </c>
      <c r="H141" s="6">
        <v>-75642</v>
      </c>
      <c r="I141" s="4" t="s">
        <v>101</v>
      </c>
      <c r="J141" s="5">
        <v>4336884</v>
      </c>
      <c r="K141" s="5">
        <v>18075</v>
      </c>
      <c r="L141" s="5">
        <v>6941460</v>
      </c>
      <c r="M141" s="5">
        <v>18862</v>
      </c>
      <c r="N141" s="7" t="s">
        <v>414</v>
      </c>
      <c r="O141" s="7" t="s">
        <v>440</v>
      </c>
      <c r="P141" s="11">
        <v>45332</v>
      </c>
      <c r="Q141" s="2" t="str">
        <f t="shared" si="16"/>
        <v>45332早班本地二区</v>
      </c>
      <c r="R141" s="2">
        <f t="shared" si="17"/>
        <v>6941460</v>
      </c>
      <c r="S141" s="2">
        <f t="shared" si="17"/>
        <v>18862</v>
      </c>
      <c r="T141" s="2" t="str">
        <f t="shared" si="18"/>
        <v>45332本地二区-早班</v>
      </c>
      <c r="U141" s="2">
        <f t="shared" si="19"/>
        <v>2.7173000000000002E-3</v>
      </c>
      <c r="V141" s="2" t="str">
        <f t="shared" si="20"/>
        <v>陈楠</v>
      </c>
    </row>
    <row r="142" spans="1:22" ht="16.5" x14ac:dyDescent="0.4">
      <c r="A142" s="4" t="s">
        <v>92</v>
      </c>
      <c r="B142" s="70" t="s">
        <v>178</v>
      </c>
      <c r="C142" s="4" t="s">
        <v>133</v>
      </c>
      <c r="D142" s="4">
        <v>172</v>
      </c>
      <c r="E142" s="4">
        <v>138</v>
      </c>
      <c r="F142" s="5">
        <v>47861</v>
      </c>
      <c r="G142" s="5">
        <v>209686</v>
      </c>
      <c r="H142" s="6">
        <v>-161825</v>
      </c>
      <c r="I142" s="4" t="s">
        <v>101</v>
      </c>
      <c r="J142" s="5">
        <v>6471887</v>
      </c>
      <c r="K142" s="5">
        <v>47861</v>
      </c>
      <c r="L142" s="5">
        <v>12946729</v>
      </c>
      <c r="M142" s="5">
        <v>55078</v>
      </c>
      <c r="N142" s="7" t="s">
        <v>438</v>
      </c>
      <c r="O142" s="7" t="s">
        <v>441</v>
      </c>
      <c r="P142" s="11">
        <v>45332</v>
      </c>
      <c r="Q142" s="2" t="str">
        <f t="shared" si="16"/>
        <v>45332下午班本地所有</v>
      </c>
      <c r="R142" s="2">
        <f t="shared" si="17"/>
        <v>12946729</v>
      </c>
      <c r="S142" s="2">
        <f t="shared" si="17"/>
        <v>55078</v>
      </c>
      <c r="T142" s="2" t="str">
        <f t="shared" si="18"/>
        <v>45332本地所有-下午班</v>
      </c>
      <c r="U142" s="2">
        <f t="shared" si="19"/>
        <v>4.2541999999999996E-3</v>
      </c>
      <c r="V142" s="2" t="str">
        <f t="shared" si="20"/>
        <v>林好男</v>
      </c>
    </row>
    <row r="143" spans="1:22" ht="16.5" x14ac:dyDescent="0.4">
      <c r="A143" s="4" t="s">
        <v>93</v>
      </c>
      <c r="B143" s="70" t="s">
        <v>104</v>
      </c>
      <c r="C143" s="4" t="s">
        <v>110</v>
      </c>
      <c r="D143" s="4">
        <v>152</v>
      </c>
      <c r="E143" s="4">
        <v>111</v>
      </c>
      <c r="F143" s="5">
        <v>23060</v>
      </c>
      <c r="G143" s="5">
        <v>115970</v>
      </c>
      <c r="H143" s="6">
        <v>-92910</v>
      </c>
      <c r="I143" s="4" t="s">
        <v>101</v>
      </c>
      <c r="J143" s="5">
        <v>2067102</v>
      </c>
      <c r="K143" s="5">
        <v>23060</v>
      </c>
      <c r="L143" s="5">
        <v>6087866</v>
      </c>
      <c r="M143" s="5">
        <v>25549</v>
      </c>
      <c r="N143" s="7" t="s">
        <v>116</v>
      </c>
      <c r="O143" s="7" t="s">
        <v>443</v>
      </c>
      <c r="P143" s="11">
        <v>45333</v>
      </c>
      <c r="Q143" s="2" t="str">
        <f t="shared" si="16"/>
        <v>45333早班本地一区</v>
      </c>
      <c r="R143" s="2">
        <f t="shared" si="17"/>
        <v>6087866</v>
      </c>
      <c r="S143" s="2">
        <f t="shared" si="17"/>
        <v>25549</v>
      </c>
      <c r="T143" s="2" t="str">
        <f t="shared" si="18"/>
        <v>45333本地一区-早班</v>
      </c>
      <c r="U143" s="2">
        <f t="shared" si="19"/>
        <v>4.1967100000000002E-3</v>
      </c>
      <c r="V143" s="2" t="str">
        <f t="shared" si="20"/>
        <v>赵勇</v>
      </c>
    </row>
    <row r="144" spans="1:22" ht="16.5" x14ac:dyDescent="0.4">
      <c r="A144" s="4" t="s">
        <v>93</v>
      </c>
      <c r="B144" s="70" t="s">
        <v>105</v>
      </c>
      <c r="C144" s="4" t="s">
        <v>122</v>
      </c>
      <c r="D144" s="4">
        <v>155</v>
      </c>
      <c r="E144" s="4">
        <v>100</v>
      </c>
      <c r="F144" s="5">
        <v>16902</v>
      </c>
      <c r="G144" s="5">
        <v>93717</v>
      </c>
      <c r="H144" s="6">
        <v>-76815</v>
      </c>
      <c r="I144" s="4" t="s">
        <v>101</v>
      </c>
      <c r="J144" s="5">
        <v>2888378</v>
      </c>
      <c r="K144" s="5">
        <v>16902</v>
      </c>
      <c r="L144" s="5">
        <v>5265955</v>
      </c>
      <c r="M144" s="5">
        <v>17949</v>
      </c>
      <c r="N144" s="7" t="s">
        <v>165</v>
      </c>
      <c r="O144" s="7" t="s">
        <v>444</v>
      </c>
      <c r="P144" s="11">
        <v>45333</v>
      </c>
      <c r="Q144" s="2" t="str">
        <f t="shared" si="16"/>
        <v>45333早班本地二区</v>
      </c>
      <c r="R144" s="2">
        <f t="shared" si="17"/>
        <v>5265955</v>
      </c>
      <c r="S144" s="2">
        <f t="shared" si="17"/>
        <v>17949</v>
      </c>
      <c r="T144" s="2" t="str">
        <f t="shared" si="18"/>
        <v>45333本地二区-早班</v>
      </c>
      <c r="U144" s="2">
        <f t="shared" si="19"/>
        <v>3.4085000000000001E-3</v>
      </c>
      <c r="V144" s="2" t="str">
        <f t="shared" si="20"/>
        <v>赵依然</v>
      </c>
    </row>
    <row r="145" spans="1:22" ht="16.5" x14ac:dyDescent="0.4">
      <c r="A145" s="4" t="s">
        <v>92</v>
      </c>
      <c r="B145" s="70" t="s">
        <v>104</v>
      </c>
      <c r="C145" s="4" t="s">
        <v>133</v>
      </c>
      <c r="D145" s="4">
        <v>191</v>
      </c>
      <c r="E145" s="4">
        <v>114</v>
      </c>
      <c r="F145" s="5">
        <v>43280</v>
      </c>
      <c r="G145" s="5">
        <v>115970</v>
      </c>
      <c r="H145" s="6">
        <v>-72690</v>
      </c>
      <c r="I145" s="4" t="s">
        <v>101</v>
      </c>
      <c r="J145" s="5">
        <v>6710881</v>
      </c>
      <c r="K145" s="5">
        <v>43280</v>
      </c>
      <c r="L145" s="5">
        <v>12278093</v>
      </c>
      <c r="M145" s="5">
        <v>50398</v>
      </c>
      <c r="N145" s="7" t="s">
        <v>419</v>
      </c>
      <c r="O145" s="7" t="s">
        <v>445</v>
      </c>
      <c r="P145" s="11">
        <v>45333</v>
      </c>
      <c r="Q145" s="2" t="str">
        <f t="shared" si="16"/>
        <v>45333下午班本地一区</v>
      </c>
      <c r="R145" s="2">
        <f t="shared" si="17"/>
        <v>12278093</v>
      </c>
      <c r="S145" s="2">
        <f t="shared" si="17"/>
        <v>50398</v>
      </c>
      <c r="T145" s="2" t="str">
        <f t="shared" si="18"/>
        <v>45333本地一区-下午班</v>
      </c>
      <c r="U145" s="2">
        <f t="shared" si="19"/>
        <v>4.1047100000000001E-3</v>
      </c>
      <c r="V145" s="2" t="str">
        <f t="shared" si="20"/>
        <v>林好男</v>
      </c>
    </row>
    <row r="146" spans="1:22" ht="16.5" x14ac:dyDescent="0.4">
      <c r="A146" s="4" t="s">
        <v>92</v>
      </c>
      <c r="B146" s="70" t="s">
        <v>105</v>
      </c>
      <c r="C146" s="4" t="s">
        <v>111</v>
      </c>
      <c r="D146" s="4">
        <v>155</v>
      </c>
      <c r="E146" s="4">
        <v>83</v>
      </c>
      <c r="F146" s="5">
        <v>28231</v>
      </c>
      <c r="G146" s="5">
        <v>93717</v>
      </c>
      <c r="H146" s="6">
        <v>-65486</v>
      </c>
      <c r="I146" s="4" t="s">
        <v>101</v>
      </c>
      <c r="J146" s="5">
        <v>5895875</v>
      </c>
      <c r="K146" s="5">
        <v>28231</v>
      </c>
      <c r="L146" s="5">
        <v>9141253</v>
      </c>
      <c r="M146" s="5">
        <v>30889</v>
      </c>
      <c r="N146" s="7" t="s">
        <v>442</v>
      </c>
      <c r="O146" s="7" t="s">
        <v>446</v>
      </c>
      <c r="P146" s="11">
        <v>45333</v>
      </c>
      <c r="Q146" s="2" t="str">
        <f t="shared" si="16"/>
        <v>45333下午班本地二区</v>
      </c>
      <c r="R146" s="2">
        <f t="shared" ref="R146:S161" si="21">L146</f>
        <v>9141253</v>
      </c>
      <c r="S146" s="2">
        <f t="shared" si="21"/>
        <v>30889</v>
      </c>
      <c r="T146" s="2" t="str">
        <f t="shared" si="18"/>
        <v>45333本地二区-下午班</v>
      </c>
      <c r="U146" s="2">
        <f t="shared" si="19"/>
        <v>3.37908E-3</v>
      </c>
      <c r="V146" s="2" t="str">
        <f t="shared" si="20"/>
        <v>陈楠</v>
      </c>
    </row>
    <row r="147" spans="1:22" ht="16.5" x14ac:dyDescent="0.4">
      <c r="A147" s="4" t="s">
        <v>93</v>
      </c>
      <c r="B147" s="70" t="s">
        <v>104</v>
      </c>
      <c r="C147" s="4" t="s">
        <v>122</v>
      </c>
      <c r="D147" s="4">
        <v>165</v>
      </c>
      <c r="E147" s="4">
        <v>96</v>
      </c>
      <c r="F147" s="5">
        <v>24205</v>
      </c>
      <c r="G147" s="5">
        <v>115970</v>
      </c>
      <c r="H147" s="6">
        <v>-91765</v>
      </c>
      <c r="I147" s="4" t="s">
        <v>101</v>
      </c>
      <c r="J147" s="5">
        <v>3378055</v>
      </c>
      <c r="K147" s="5">
        <v>24205</v>
      </c>
      <c r="L147" s="5">
        <v>6328588</v>
      </c>
      <c r="M147" s="5">
        <v>25867</v>
      </c>
      <c r="N147" s="7" t="s">
        <v>448</v>
      </c>
      <c r="O147" s="7" t="s">
        <v>452</v>
      </c>
      <c r="P147" s="11">
        <v>45334</v>
      </c>
      <c r="Q147" s="2" t="str">
        <f t="shared" si="16"/>
        <v>45334早班本地一区</v>
      </c>
      <c r="R147" s="2">
        <f t="shared" si="21"/>
        <v>6328588</v>
      </c>
      <c r="S147" s="2">
        <f t="shared" si="21"/>
        <v>25867</v>
      </c>
      <c r="T147" s="2" t="str">
        <f t="shared" si="18"/>
        <v>45334本地一区-早班</v>
      </c>
      <c r="U147" s="2">
        <f t="shared" si="19"/>
        <v>4.0873300000000001E-3</v>
      </c>
      <c r="V147" s="2" t="str">
        <f t="shared" si="20"/>
        <v>赵依然</v>
      </c>
    </row>
    <row r="148" spans="1:22" ht="16.5" x14ac:dyDescent="0.4">
      <c r="A148" s="4" t="s">
        <v>93</v>
      </c>
      <c r="B148" s="70" t="s">
        <v>105</v>
      </c>
      <c r="C148" s="4" t="s">
        <v>110</v>
      </c>
      <c r="D148" s="4">
        <v>151</v>
      </c>
      <c r="E148" s="4">
        <v>106</v>
      </c>
      <c r="F148" s="5">
        <v>20439</v>
      </c>
      <c r="G148" s="5">
        <v>93717</v>
      </c>
      <c r="H148" s="6">
        <v>-73278</v>
      </c>
      <c r="I148" s="4" t="s">
        <v>101</v>
      </c>
      <c r="J148" s="5">
        <v>4017929</v>
      </c>
      <c r="K148" s="5">
        <v>20439</v>
      </c>
      <c r="L148" s="5">
        <v>6327483</v>
      </c>
      <c r="M148" s="5">
        <v>21585</v>
      </c>
      <c r="N148" s="7" t="s">
        <v>449</v>
      </c>
      <c r="O148" s="7" t="s">
        <v>453</v>
      </c>
      <c r="P148" s="11">
        <v>45334</v>
      </c>
      <c r="Q148" s="2" t="str">
        <f t="shared" si="16"/>
        <v>45334早班本地二区</v>
      </c>
      <c r="R148" s="2">
        <f t="shared" si="21"/>
        <v>6327483</v>
      </c>
      <c r="S148" s="2">
        <f t="shared" si="21"/>
        <v>21585</v>
      </c>
      <c r="T148" s="2" t="str">
        <f t="shared" si="18"/>
        <v>45334本地二区-早班</v>
      </c>
      <c r="U148" s="2">
        <f t="shared" si="19"/>
        <v>3.4113099999999999E-3</v>
      </c>
      <c r="V148" s="2" t="str">
        <f t="shared" si="20"/>
        <v>赵勇</v>
      </c>
    </row>
    <row r="149" spans="1:22" ht="16.5" x14ac:dyDescent="0.4">
      <c r="A149" s="4" t="s">
        <v>92</v>
      </c>
      <c r="B149" s="70" t="s">
        <v>104</v>
      </c>
      <c r="C149" s="4" t="s">
        <v>111</v>
      </c>
      <c r="D149" s="4">
        <v>151</v>
      </c>
      <c r="E149" s="4">
        <v>103</v>
      </c>
      <c r="F149" s="5">
        <v>34727</v>
      </c>
      <c r="G149" s="5">
        <v>115970</v>
      </c>
      <c r="H149" s="6">
        <v>-81243</v>
      </c>
      <c r="I149" s="4" t="s">
        <v>101</v>
      </c>
      <c r="J149" s="5">
        <v>6487334</v>
      </c>
      <c r="K149" s="5">
        <v>34727</v>
      </c>
      <c r="L149" s="5">
        <v>9363345</v>
      </c>
      <c r="M149" s="5">
        <v>37452</v>
      </c>
      <c r="N149" s="7" t="s">
        <v>451</v>
      </c>
      <c r="O149" s="7" t="s">
        <v>454</v>
      </c>
      <c r="P149" s="11">
        <v>45334</v>
      </c>
      <c r="Q149" s="2" t="str">
        <f t="shared" si="16"/>
        <v>45334下午班本地一区</v>
      </c>
      <c r="R149" s="2">
        <f t="shared" si="21"/>
        <v>9363345</v>
      </c>
      <c r="S149" s="2">
        <f t="shared" si="21"/>
        <v>37452</v>
      </c>
      <c r="T149" s="2" t="str">
        <f t="shared" si="18"/>
        <v>45334本地一区-下午班</v>
      </c>
      <c r="U149" s="2">
        <f t="shared" si="19"/>
        <v>3.9998500000000001E-3</v>
      </c>
      <c r="V149" s="2" t="str">
        <f t="shared" si="20"/>
        <v>陈楠</v>
      </c>
    </row>
    <row r="150" spans="1:22" ht="16.5" x14ac:dyDescent="0.4">
      <c r="A150" s="4" t="s">
        <v>92</v>
      </c>
      <c r="B150" s="70" t="s">
        <v>105</v>
      </c>
      <c r="C150" s="4" t="s">
        <v>133</v>
      </c>
      <c r="D150" s="4">
        <v>170</v>
      </c>
      <c r="E150" s="4">
        <v>110</v>
      </c>
      <c r="F150" s="5">
        <v>35704</v>
      </c>
      <c r="G150" s="5">
        <v>93717</v>
      </c>
      <c r="H150" s="6">
        <v>-58013</v>
      </c>
      <c r="I150" s="4" t="s">
        <v>101</v>
      </c>
      <c r="J150" s="5">
        <v>6276703</v>
      </c>
      <c r="K150" s="5">
        <v>35704</v>
      </c>
      <c r="L150" s="5">
        <v>9775357</v>
      </c>
      <c r="M150" s="5">
        <v>39525</v>
      </c>
      <c r="N150" s="7" t="s">
        <v>447</v>
      </c>
      <c r="O150" s="7" t="s">
        <v>455</v>
      </c>
      <c r="P150" s="11">
        <v>45334</v>
      </c>
      <c r="Q150" s="2" t="str">
        <f t="shared" si="16"/>
        <v>45334下午班本地二区</v>
      </c>
      <c r="R150" s="2">
        <f t="shared" si="21"/>
        <v>9775357</v>
      </c>
      <c r="S150" s="2">
        <f t="shared" si="21"/>
        <v>39525</v>
      </c>
      <c r="T150" s="2" t="str">
        <f t="shared" si="18"/>
        <v>45334本地二区-下午班</v>
      </c>
      <c r="U150" s="2">
        <f t="shared" si="19"/>
        <v>4.0433300000000004E-3</v>
      </c>
      <c r="V150" s="2" t="str">
        <f t="shared" si="20"/>
        <v>林好男</v>
      </c>
    </row>
    <row r="151" spans="1:22" ht="16.5" x14ac:dyDescent="0.4">
      <c r="A151" s="4" t="s">
        <v>93</v>
      </c>
      <c r="B151" s="70" t="s">
        <v>178</v>
      </c>
      <c r="C151" s="4" t="s">
        <v>122</v>
      </c>
      <c r="D151" s="4">
        <v>181</v>
      </c>
      <c r="E151" s="4">
        <v>102</v>
      </c>
      <c r="F151" s="5">
        <v>33699</v>
      </c>
      <c r="G151" s="5">
        <v>209686</v>
      </c>
      <c r="H151" s="6">
        <v>-175987</v>
      </c>
      <c r="I151" s="4" t="s">
        <v>101</v>
      </c>
      <c r="J151" s="5">
        <v>7836041</v>
      </c>
      <c r="K151" s="5">
        <v>33699</v>
      </c>
      <c r="L151" s="5">
        <v>11002397</v>
      </c>
      <c r="M151" s="5">
        <v>35250</v>
      </c>
      <c r="N151" s="7" t="s">
        <v>450</v>
      </c>
      <c r="O151" s="7" t="s">
        <v>456</v>
      </c>
      <c r="P151" s="11">
        <v>45335</v>
      </c>
      <c r="Q151" s="2" t="str">
        <f t="shared" si="16"/>
        <v>45335早班本地所有</v>
      </c>
      <c r="R151" s="2">
        <f t="shared" si="21"/>
        <v>11002397</v>
      </c>
      <c r="S151" s="2">
        <f t="shared" si="21"/>
        <v>35250</v>
      </c>
      <c r="T151" s="2" t="str">
        <f t="shared" si="18"/>
        <v>45335本地所有-早班</v>
      </c>
      <c r="U151" s="2">
        <f t="shared" si="19"/>
        <v>3.2038499999999998E-3</v>
      </c>
      <c r="V151" s="2" t="str">
        <f t="shared" si="20"/>
        <v>赵依然</v>
      </c>
    </row>
    <row r="152" spans="1:22" ht="16.5" x14ac:dyDescent="0.4">
      <c r="A152" s="4" t="s">
        <v>92</v>
      </c>
      <c r="B152" s="70" t="s">
        <v>178</v>
      </c>
      <c r="C152" s="4" t="s">
        <v>111</v>
      </c>
      <c r="D152" s="4">
        <v>173</v>
      </c>
      <c r="E152" s="4">
        <v>127</v>
      </c>
      <c r="F152" s="5">
        <v>53350</v>
      </c>
      <c r="G152" s="5">
        <v>209686</v>
      </c>
      <c r="H152" s="6">
        <v>-156336</v>
      </c>
      <c r="I152" s="4" t="s">
        <v>101</v>
      </c>
      <c r="J152" s="5">
        <v>8540411</v>
      </c>
      <c r="K152" s="5">
        <v>53350</v>
      </c>
      <c r="L152" s="5">
        <v>15216334</v>
      </c>
      <c r="M152" s="5">
        <v>57637</v>
      </c>
      <c r="N152" s="7" t="s">
        <v>411</v>
      </c>
      <c r="O152" s="7" t="s">
        <v>457</v>
      </c>
      <c r="P152" s="11">
        <v>45335</v>
      </c>
      <c r="Q152" s="2" t="str">
        <f t="shared" si="16"/>
        <v>45335下午班本地所有</v>
      </c>
      <c r="R152" s="2">
        <f t="shared" si="21"/>
        <v>15216334</v>
      </c>
      <c r="S152" s="2">
        <f t="shared" si="21"/>
        <v>57637</v>
      </c>
      <c r="T152" s="2" t="str">
        <f t="shared" si="18"/>
        <v>45335本地所有-下午班</v>
      </c>
      <c r="U152" s="2">
        <f t="shared" si="19"/>
        <v>3.7878399999999998E-3</v>
      </c>
      <c r="V152" s="2" t="str">
        <f t="shared" si="20"/>
        <v>陈楠</v>
      </c>
    </row>
    <row r="153" spans="1:22" ht="16.5" x14ac:dyDescent="0.4">
      <c r="A153" s="4" t="s">
        <v>93</v>
      </c>
      <c r="B153" s="70" t="s">
        <v>178</v>
      </c>
      <c r="C153" s="4" t="s">
        <v>158</v>
      </c>
      <c r="D153" s="4">
        <v>168</v>
      </c>
      <c r="E153" s="4">
        <v>122</v>
      </c>
      <c r="F153" s="5">
        <v>45144</v>
      </c>
      <c r="G153" s="5">
        <v>209686</v>
      </c>
      <c r="H153" s="6">
        <v>-164542</v>
      </c>
      <c r="I153" s="4" t="s">
        <v>101</v>
      </c>
      <c r="J153" s="5">
        <v>8202555</v>
      </c>
      <c r="K153" s="5">
        <v>45144</v>
      </c>
      <c r="L153" s="5">
        <v>16041969</v>
      </c>
      <c r="M153" s="5">
        <v>47420</v>
      </c>
      <c r="N153" s="7" t="s">
        <v>458</v>
      </c>
      <c r="O153" s="7" t="s">
        <v>459</v>
      </c>
      <c r="P153" s="11">
        <v>45336</v>
      </c>
      <c r="Q153" s="2" t="str">
        <f t="shared" si="16"/>
        <v>45336早班本地所有</v>
      </c>
      <c r="R153" s="2">
        <f t="shared" si="21"/>
        <v>16041969</v>
      </c>
      <c r="S153" s="2">
        <f t="shared" si="21"/>
        <v>47420</v>
      </c>
      <c r="T153" s="2" t="str">
        <f t="shared" si="18"/>
        <v>45336本地所有-早班</v>
      </c>
      <c r="U153" s="2">
        <f t="shared" si="19"/>
        <v>2.9559999999999999E-3</v>
      </c>
      <c r="V153" s="2" t="str">
        <f t="shared" si="20"/>
        <v>李晓晗</v>
      </c>
    </row>
    <row r="154" spans="1:22" ht="16.5" x14ac:dyDescent="0.4">
      <c r="A154" s="4" t="s">
        <v>92</v>
      </c>
      <c r="B154" s="70" t="s">
        <v>178</v>
      </c>
      <c r="C154" s="4" t="s">
        <v>110</v>
      </c>
      <c r="D154" s="4">
        <v>189</v>
      </c>
      <c r="E154" s="4">
        <v>114</v>
      </c>
      <c r="F154" s="5">
        <v>49934</v>
      </c>
      <c r="G154" s="5">
        <v>209686</v>
      </c>
      <c r="H154" s="6">
        <v>-159752</v>
      </c>
      <c r="I154" s="4" t="s">
        <v>101</v>
      </c>
      <c r="J154" s="5">
        <v>4218036</v>
      </c>
      <c r="K154" s="5">
        <v>49934</v>
      </c>
      <c r="L154" s="5">
        <v>8068529</v>
      </c>
      <c r="M154" s="5">
        <v>55670</v>
      </c>
      <c r="N154" s="7" t="s">
        <v>129</v>
      </c>
      <c r="O154" s="7" t="s">
        <v>460</v>
      </c>
      <c r="P154" s="11">
        <v>45336</v>
      </c>
      <c r="Q154" s="2" t="str">
        <f t="shared" si="16"/>
        <v>45336下午班本地所有</v>
      </c>
      <c r="R154" s="2">
        <f t="shared" si="21"/>
        <v>8068529</v>
      </c>
      <c r="S154" s="2">
        <f t="shared" si="21"/>
        <v>55670</v>
      </c>
      <c r="T154" s="2" t="str">
        <f t="shared" si="18"/>
        <v>45336本地所有-下午班</v>
      </c>
      <c r="U154" s="2">
        <f t="shared" si="19"/>
        <v>6.8996500000000002E-3</v>
      </c>
      <c r="V154" s="2" t="str">
        <f t="shared" si="20"/>
        <v>赵勇</v>
      </c>
    </row>
    <row r="155" spans="1:22" ht="16.5" x14ac:dyDescent="0.4">
      <c r="A155" s="4" t="s">
        <v>93</v>
      </c>
      <c r="B155" s="70" t="s">
        <v>178</v>
      </c>
      <c r="C155" s="4" t="s">
        <v>133</v>
      </c>
      <c r="D155" s="4">
        <v>176</v>
      </c>
      <c r="E155" s="4">
        <v>123</v>
      </c>
      <c r="F155" s="5">
        <v>38886</v>
      </c>
      <c r="G155" s="5">
        <v>209686</v>
      </c>
      <c r="H155" s="6">
        <v>-170800</v>
      </c>
      <c r="I155" s="4" t="s">
        <v>101</v>
      </c>
      <c r="J155" s="5">
        <v>4774391</v>
      </c>
      <c r="K155" s="5">
        <v>38886</v>
      </c>
      <c r="L155" s="5">
        <v>10848948</v>
      </c>
      <c r="M155" s="5">
        <v>42068</v>
      </c>
      <c r="N155" s="7" t="s">
        <v>395</v>
      </c>
      <c r="O155" s="7" t="s">
        <v>462</v>
      </c>
      <c r="P155" s="11">
        <v>45337</v>
      </c>
      <c r="Q155" s="2" t="str">
        <f t="shared" si="16"/>
        <v>45337早班本地所有</v>
      </c>
      <c r="R155" s="2">
        <f t="shared" si="21"/>
        <v>10848948</v>
      </c>
      <c r="S155" s="2">
        <f t="shared" si="21"/>
        <v>42068</v>
      </c>
      <c r="T155" s="2" t="str">
        <f t="shared" si="18"/>
        <v>45337本地所有-早班</v>
      </c>
      <c r="U155" s="2">
        <f t="shared" si="19"/>
        <v>3.8776100000000001E-3</v>
      </c>
      <c r="V155" s="2" t="str">
        <f t="shared" si="20"/>
        <v>林好男</v>
      </c>
    </row>
    <row r="156" spans="1:22" ht="16.5" x14ac:dyDescent="0.4">
      <c r="A156" s="4" t="s">
        <v>92</v>
      </c>
      <c r="B156" s="70" t="s">
        <v>178</v>
      </c>
      <c r="C156" s="4" t="s">
        <v>158</v>
      </c>
      <c r="D156" s="4">
        <v>175</v>
      </c>
      <c r="E156" s="4">
        <v>142</v>
      </c>
      <c r="F156" s="5">
        <v>59514</v>
      </c>
      <c r="G156" s="5">
        <v>209686</v>
      </c>
      <c r="H156" s="6">
        <v>-150172</v>
      </c>
      <c r="I156" s="4" t="s">
        <v>101</v>
      </c>
      <c r="J156" s="5">
        <v>5377469</v>
      </c>
      <c r="K156" s="5">
        <v>59514</v>
      </c>
      <c r="L156" s="5">
        <v>10185836</v>
      </c>
      <c r="M156" s="5">
        <v>66454</v>
      </c>
      <c r="N156" s="7" t="s">
        <v>307</v>
      </c>
      <c r="O156" s="7" t="s">
        <v>463</v>
      </c>
      <c r="P156" s="11">
        <v>45337</v>
      </c>
      <c r="Q156" s="2" t="str">
        <f t="shared" si="16"/>
        <v>45337下午班本地所有</v>
      </c>
      <c r="R156" s="2">
        <f t="shared" si="21"/>
        <v>10185836</v>
      </c>
      <c r="S156" s="2">
        <f t="shared" si="21"/>
        <v>66454</v>
      </c>
      <c r="T156" s="2" t="str">
        <f t="shared" si="18"/>
        <v>45337本地所有-下午班</v>
      </c>
      <c r="U156" s="2">
        <f t="shared" si="19"/>
        <v>6.5241600000000002E-3</v>
      </c>
      <c r="V156" s="2" t="str">
        <f t="shared" si="20"/>
        <v>李晓晗</v>
      </c>
    </row>
    <row r="157" spans="1:22" ht="16.5" x14ac:dyDescent="0.4">
      <c r="A157" s="4" t="s">
        <v>93</v>
      </c>
      <c r="B157" s="70" t="s">
        <v>104</v>
      </c>
      <c r="C157" s="4" t="s">
        <v>133</v>
      </c>
      <c r="D157" s="4">
        <v>154</v>
      </c>
      <c r="E157" s="4">
        <v>90</v>
      </c>
      <c r="F157" s="5">
        <v>29436</v>
      </c>
      <c r="G157" s="5">
        <v>115970</v>
      </c>
      <c r="H157" s="6">
        <v>-86534</v>
      </c>
      <c r="I157" s="4" t="s">
        <v>101</v>
      </c>
      <c r="J157" s="5">
        <v>3346395</v>
      </c>
      <c r="K157" s="5">
        <v>29436</v>
      </c>
      <c r="L157" s="5">
        <v>6960389</v>
      </c>
      <c r="M157" s="5">
        <v>32627</v>
      </c>
      <c r="N157" s="7" t="s">
        <v>334</v>
      </c>
      <c r="O157" s="7" t="s">
        <v>468</v>
      </c>
      <c r="P157" s="11">
        <v>45339</v>
      </c>
      <c r="Q157" s="2" t="str">
        <f t="shared" si="16"/>
        <v>45339早班本地一区</v>
      </c>
      <c r="R157" s="2">
        <f t="shared" si="21"/>
        <v>6960389</v>
      </c>
      <c r="S157" s="2">
        <f t="shared" si="21"/>
        <v>32627</v>
      </c>
      <c r="T157" s="2" t="str">
        <f t="shared" si="18"/>
        <v>45339本地一区-早班</v>
      </c>
      <c r="U157" s="2">
        <f t="shared" si="19"/>
        <v>4.6875299999999996E-3</v>
      </c>
      <c r="V157" s="2" t="str">
        <f t="shared" si="20"/>
        <v>林好男</v>
      </c>
    </row>
    <row r="158" spans="1:22" ht="16.5" x14ac:dyDescent="0.4">
      <c r="A158" s="4" t="s">
        <v>93</v>
      </c>
      <c r="B158" s="70" t="s">
        <v>105</v>
      </c>
      <c r="C158" s="4" t="s">
        <v>122</v>
      </c>
      <c r="D158" s="4">
        <v>182</v>
      </c>
      <c r="E158" s="4">
        <v>101</v>
      </c>
      <c r="F158" s="5">
        <v>19676</v>
      </c>
      <c r="G158" s="5">
        <v>93717</v>
      </c>
      <c r="H158" s="6">
        <v>-74041</v>
      </c>
      <c r="I158" s="4" t="s">
        <v>101</v>
      </c>
      <c r="J158" s="5">
        <v>3816658</v>
      </c>
      <c r="K158" s="5">
        <v>19676</v>
      </c>
      <c r="L158" s="5">
        <v>6564879</v>
      </c>
      <c r="M158" s="5">
        <v>21017</v>
      </c>
      <c r="N158" s="7" t="s">
        <v>461</v>
      </c>
      <c r="O158" s="7" t="s">
        <v>469</v>
      </c>
      <c r="P158" s="11">
        <v>45339</v>
      </c>
      <c r="Q158" s="2" t="str">
        <f t="shared" si="16"/>
        <v>45339早班本地二区</v>
      </c>
      <c r="R158" s="2">
        <f t="shared" si="21"/>
        <v>6564879</v>
      </c>
      <c r="S158" s="2">
        <f t="shared" si="21"/>
        <v>21017</v>
      </c>
      <c r="T158" s="2" t="str">
        <f t="shared" si="18"/>
        <v>45339本地二区-早班</v>
      </c>
      <c r="U158" s="2">
        <f t="shared" si="19"/>
        <v>3.2014299999999999E-3</v>
      </c>
      <c r="V158" s="2" t="str">
        <f t="shared" si="20"/>
        <v>赵依然</v>
      </c>
    </row>
    <row r="159" spans="1:22" ht="16.5" x14ac:dyDescent="0.4">
      <c r="A159" s="4" t="s">
        <v>92</v>
      </c>
      <c r="B159" s="70" t="s">
        <v>178</v>
      </c>
      <c r="C159" s="4" t="s">
        <v>111</v>
      </c>
      <c r="D159" s="4">
        <v>152</v>
      </c>
      <c r="E159" s="4">
        <v>120</v>
      </c>
      <c r="F159" s="5">
        <v>54564</v>
      </c>
      <c r="G159" s="5">
        <v>209686</v>
      </c>
      <c r="H159" s="6">
        <v>-155122</v>
      </c>
      <c r="I159" s="4" t="s">
        <v>101</v>
      </c>
      <c r="J159" s="5">
        <v>8329077</v>
      </c>
      <c r="K159" s="5">
        <v>54564</v>
      </c>
      <c r="L159" s="5">
        <v>14381053</v>
      </c>
      <c r="M159" s="5">
        <v>59213</v>
      </c>
      <c r="N159" s="7" t="s">
        <v>289</v>
      </c>
      <c r="O159" s="7" t="s">
        <v>470</v>
      </c>
      <c r="P159" s="11">
        <v>45339</v>
      </c>
      <c r="Q159" s="2" t="str">
        <f t="shared" si="16"/>
        <v>45339下午班本地所有</v>
      </c>
      <c r="R159" s="2">
        <f t="shared" si="21"/>
        <v>14381053</v>
      </c>
      <c r="S159" s="2">
        <f t="shared" si="21"/>
        <v>59213</v>
      </c>
      <c r="T159" s="2" t="str">
        <f t="shared" si="18"/>
        <v>45339本地所有-下午班</v>
      </c>
      <c r="U159" s="2">
        <f t="shared" si="19"/>
        <v>4.11743E-3</v>
      </c>
      <c r="V159" s="2" t="str">
        <f t="shared" si="20"/>
        <v>陈楠</v>
      </c>
    </row>
    <row r="160" spans="1:22" ht="16.5" x14ac:dyDescent="0.4">
      <c r="A160" s="4" t="s">
        <v>93</v>
      </c>
      <c r="B160" s="70" t="s">
        <v>104</v>
      </c>
      <c r="C160" s="4" t="s">
        <v>110</v>
      </c>
      <c r="D160" s="4">
        <v>181</v>
      </c>
      <c r="E160" s="4">
        <v>116</v>
      </c>
      <c r="F160" s="5">
        <v>41079</v>
      </c>
      <c r="G160" s="5">
        <v>115970</v>
      </c>
      <c r="H160" s="6">
        <v>-74891</v>
      </c>
      <c r="I160" s="4" t="s">
        <v>101</v>
      </c>
      <c r="J160" s="5">
        <v>4407998</v>
      </c>
      <c r="K160" s="5">
        <v>41079</v>
      </c>
      <c r="L160" s="5">
        <v>11558362</v>
      </c>
      <c r="M160" s="5">
        <v>46944</v>
      </c>
      <c r="N160" s="7" t="s">
        <v>323</v>
      </c>
      <c r="O160" s="7" t="s">
        <v>471</v>
      </c>
      <c r="P160" s="11">
        <v>45340</v>
      </c>
      <c r="Q160" s="2" t="str">
        <f t="shared" si="16"/>
        <v>45340早班本地一区</v>
      </c>
      <c r="R160" s="2">
        <f t="shared" si="21"/>
        <v>11558362</v>
      </c>
      <c r="S160" s="2">
        <f t="shared" si="21"/>
        <v>46944</v>
      </c>
      <c r="T160" s="2" t="str">
        <f t="shared" si="18"/>
        <v>45340本地一区-早班</v>
      </c>
      <c r="U160" s="2">
        <f t="shared" si="19"/>
        <v>4.0614800000000001E-3</v>
      </c>
      <c r="V160" s="2" t="str">
        <f t="shared" si="20"/>
        <v>赵勇</v>
      </c>
    </row>
    <row r="161" spans="1:22" ht="16.5" x14ac:dyDescent="0.4">
      <c r="A161" s="4" t="s">
        <v>93</v>
      </c>
      <c r="B161" s="70" t="s">
        <v>105</v>
      </c>
      <c r="C161" s="4" t="s">
        <v>122</v>
      </c>
      <c r="D161" s="4">
        <v>179</v>
      </c>
      <c r="E161" s="4">
        <v>102</v>
      </c>
      <c r="F161" s="5">
        <v>24430</v>
      </c>
      <c r="G161" s="5">
        <v>93717</v>
      </c>
      <c r="H161" s="6">
        <v>-69287</v>
      </c>
      <c r="I161" s="4" t="s">
        <v>101</v>
      </c>
      <c r="J161" s="5">
        <v>3552402</v>
      </c>
      <c r="K161" s="5">
        <v>24430</v>
      </c>
      <c r="L161" s="5">
        <v>8867928</v>
      </c>
      <c r="M161" s="5">
        <v>26949</v>
      </c>
      <c r="N161" s="7" t="s">
        <v>467</v>
      </c>
      <c r="O161" s="7" t="s">
        <v>472</v>
      </c>
      <c r="P161" s="11">
        <v>45340</v>
      </c>
      <c r="Q161" s="2" t="str">
        <f t="shared" si="16"/>
        <v>45340早班本地二区</v>
      </c>
      <c r="R161" s="2">
        <f t="shared" si="21"/>
        <v>8867928</v>
      </c>
      <c r="S161" s="2">
        <f t="shared" si="21"/>
        <v>26949</v>
      </c>
      <c r="T161" s="2" t="str">
        <f t="shared" si="18"/>
        <v>45340本地二区-早班</v>
      </c>
      <c r="U161" s="2">
        <f t="shared" si="19"/>
        <v>3.03893E-3</v>
      </c>
      <c r="V161" s="2" t="str">
        <f t="shared" si="20"/>
        <v>赵依然</v>
      </c>
    </row>
    <row r="162" spans="1:22" ht="16.5" x14ac:dyDescent="0.4">
      <c r="A162" s="4" t="s">
        <v>92</v>
      </c>
      <c r="B162" s="70" t="s">
        <v>178</v>
      </c>
      <c r="C162" s="4" t="s">
        <v>158</v>
      </c>
      <c r="D162" s="4">
        <v>183</v>
      </c>
      <c r="E162" s="4">
        <v>109</v>
      </c>
      <c r="F162" s="5">
        <v>62546</v>
      </c>
      <c r="G162" s="5">
        <v>209686</v>
      </c>
      <c r="H162" s="6">
        <v>-147140</v>
      </c>
      <c r="I162" s="4" t="s">
        <v>101</v>
      </c>
      <c r="J162" s="5">
        <v>5236776</v>
      </c>
      <c r="K162" s="5">
        <v>62546</v>
      </c>
      <c r="L162" s="5">
        <v>8766054</v>
      </c>
      <c r="M162" s="5">
        <v>70565</v>
      </c>
      <c r="N162" s="7" t="s">
        <v>473</v>
      </c>
      <c r="O162" s="7" t="s">
        <v>474</v>
      </c>
      <c r="P162" s="11">
        <v>45340</v>
      </c>
      <c r="Q162" s="2" t="str">
        <f t="shared" si="16"/>
        <v>45340下午班本地所有</v>
      </c>
      <c r="R162" s="2">
        <f t="shared" ref="R162:S177" si="22">L162</f>
        <v>8766054</v>
      </c>
      <c r="S162" s="2">
        <f t="shared" si="22"/>
        <v>70565</v>
      </c>
      <c r="T162" s="2" t="str">
        <f t="shared" si="18"/>
        <v>45340本地所有-下午班</v>
      </c>
      <c r="U162" s="2">
        <f t="shared" si="19"/>
        <v>8.0497999999999993E-3</v>
      </c>
      <c r="V162" s="2" t="str">
        <f t="shared" si="20"/>
        <v>李晓晗</v>
      </c>
    </row>
    <row r="163" spans="1:22" ht="16.5" x14ac:dyDescent="0.4">
      <c r="A163" s="4" t="s">
        <v>93</v>
      </c>
      <c r="B163" s="70" t="s">
        <v>178</v>
      </c>
      <c r="C163" s="4" t="s">
        <v>110</v>
      </c>
      <c r="D163" s="4">
        <v>196</v>
      </c>
      <c r="E163" s="4">
        <v>135</v>
      </c>
      <c r="F163" s="5">
        <v>55586</v>
      </c>
      <c r="G163" s="5">
        <v>209686</v>
      </c>
      <c r="H163" s="6">
        <v>-154100</v>
      </c>
      <c r="I163" s="4" t="s">
        <v>101</v>
      </c>
      <c r="J163" s="5">
        <v>5607676</v>
      </c>
      <c r="K163" s="5">
        <v>55586</v>
      </c>
      <c r="L163" s="5">
        <v>12538471</v>
      </c>
      <c r="M163" s="5">
        <v>60616</v>
      </c>
      <c r="N163" s="7" t="s">
        <v>475</v>
      </c>
      <c r="O163" s="7" t="s">
        <v>476</v>
      </c>
      <c r="P163" s="11">
        <v>45341</v>
      </c>
      <c r="Q163" s="2" t="str">
        <f t="shared" si="16"/>
        <v>45341早班本地所有</v>
      </c>
      <c r="R163" s="2">
        <f t="shared" si="22"/>
        <v>12538471</v>
      </c>
      <c r="S163" s="2">
        <f t="shared" si="22"/>
        <v>60616</v>
      </c>
      <c r="T163" s="2" t="str">
        <f t="shared" si="18"/>
        <v>45341本地所有-早班</v>
      </c>
      <c r="U163" s="2">
        <f t="shared" si="19"/>
        <v>4.8344E-3</v>
      </c>
      <c r="V163" s="2" t="str">
        <f t="shared" si="20"/>
        <v>赵勇</v>
      </c>
    </row>
    <row r="164" spans="1:22" ht="16.5" x14ac:dyDescent="0.4">
      <c r="A164" s="4" t="s">
        <v>92</v>
      </c>
      <c r="B164" s="70" t="s">
        <v>104</v>
      </c>
      <c r="C164" s="4" t="s">
        <v>133</v>
      </c>
      <c r="D164" s="4">
        <v>156</v>
      </c>
      <c r="E164" s="4">
        <v>115</v>
      </c>
      <c r="F164" s="5">
        <v>39541</v>
      </c>
      <c r="G164" s="5">
        <v>115970</v>
      </c>
      <c r="H164" s="6">
        <v>-76429</v>
      </c>
      <c r="I164" s="4" t="s">
        <v>101</v>
      </c>
      <c r="J164" s="5">
        <v>2600968</v>
      </c>
      <c r="K164" s="5">
        <v>39541</v>
      </c>
      <c r="L164" s="5">
        <v>6537657</v>
      </c>
      <c r="M164" s="5">
        <v>46253</v>
      </c>
      <c r="N164" s="7" t="s">
        <v>477</v>
      </c>
      <c r="O164" s="7" t="s">
        <v>478</v>
      </c>
      <c r="P164" s="11">
        <v>45341</v>
      </c>
      <c r="Q164" s="2" t="str">
        <f t="shared" si="16"/>
        <v>45341下午班本地一区</v>
      </c>
      <c r="R164" s="2">
        <f t="shared" si="22"/>
        <v>6537657</v>
      </c>
      <c r="S164" s="2">
        <f t="shared" si="22"/>
        <v>46253</v>
      </c>
      <c r="T164" s="2" t="str">
        <f t="shared" si="18"/>
        <v>45341本地一区-下午班</v>
      </c>
      <c r="U164" s="2">
        <f t="shared" si="19"/>
        <v>7.0748599999999997E-3</v>
      </c>
      <c r="V164" s="2" t="str">
        <f t="shared" si="20"/>
        <v>林好男</v>
      </c>
    </row>
    <row r="165" spans="1:22" ht="16.5" x14ac:dyDescent="0.4">
      <c r="A165" s="4" t="s">
        <v>92</v>
      </c>
      <c r="B165" s="70" t="s">
        <v>105</v>
      </c>
      <c r="C165" s="4" t="s">
        <v>122</v>
      </c>
      <c r="D165" s="4">
        <v>178</v>
      </c>
      <c r="E165" s="4">
        <v>104</v>
      </c>
      <c r="F165" s="5">
        <v>34417</v>
      </c>
      <c r="G165" s="5">
        <v>93717</v>
      </c>
      <c r="H165" s="6">
        <v>-59300</v>
      </c>
      <c r="I165" s="4" t="s">
        <v>101</v>
      </c>
      <c r="J165" s="5">
        <v>3647023</v>
      </c>
      <c r="K165" s="5">
        <v>34417</v>
      </c>
      <c r="L165" s="5">
        <v>7391970</v>
      </c>
      <c r="M165" s="5">
        <v>37779</v>
      </c>
      <c r="N165" s="7" t="s">
        <v>118</v>
      </c>
      <c r="O165" s="7" t="s">
        <v>479</v>
      </c>
      <c r="P165" s="11">
        <v>45341</v>
      </c>
      <c r="Q165" s="2" t="str">
        <f t="shared" si="16"/>
        <v>45341下午班本地二区</v>
      </c>
      <c r="R165" s="2">
        <f t="shared" si="22"/>
        <v>7391970</v>
      </c>
      <c r="S165" s="2">
        <f t="shared" si="22"/>
        <v>37779</v>
      </c>
      <c r="T165" s="2" t="str">
        <f t="shared" si="18"/>
        <v>45341本地二区-下午班</v>
      </c>
      <c r="U165" s="2">
        <f t="shared" si="19"/>
        <v>5.1108200000000003E-3</v>
      </c>
      <c r="V165" s="2" t="str">
        <f t="shared" si="20"/>
        <v>赵依然</v>
      </c>
    </row>
    <row r="166" spans="1:22" ht="16.5" x14ac:dyDescent="0.4">
      <c r="A166" s="4" t="s">
        <v>93</v>
      </c>
      <c r="B166" s="70" t="s">
        <v>178</v>
      </c>
      <c r="C166" s="4" t="s">
        <v>110</v>
      </c>
      <c r="D166" s="4">
        <v>237</v>
      </c>
      <c r="E166" s="4">
        <v>153</v>
      </c>
      <c r="F166" s="5">
        <v>55158</v>
      </c>
      <c r="G166" s="5">
        <v>209686</v>
      </c>
      <c r="H166" s="6">
        <v>-154528</v>
      </c>
      <c r="I166" s="4" t="s">
        <v>101</v>
      </c>
      <c r="J166" s="5">
        <v>6299810</v>
      </c>
      <c r="K166" s="5">
        <v>55158</v>
      </c>
      <c r="L166" s="5">
        <v>12246062</v>
      </c>
      <c r="M166" s="5">
        <v>60553</v>
      </c>
      <c r="N166" s="7" t="s">
        <v>334</v>
      </c>
      <c r="O166" s="7" t="s">
        <v>480</v>
      </c>
      <c r="P166" s="11">
        <v>45342</v>
      </c>
      <c r="Q166" s="2" t="str">
        <f t="shared" si="16"/>
        <v>45342早班本地所有</v>
      </c>
      <c r="R166" s="2">
        <f t="shared" si="22"/>
        <v>12246062</v>
      </c>
      <c r="S166" s="2">
        <f t="shared" si="22"/>
        <v>60553</v>
      </c>
      <c r="T166" s="2" t="str">
        <f t="shared" si="18"/>
        <v>45342本地所有-早班</v>
      </c>
      <c r="U166" s="2">
        <f t="shared" si="19"/>
        <v>4.9446899999999998E-3</v>
      </c>
      <c r="V166" s="2" t="str">
        <f t="shared" si="20"/>
        <v>赵勇</v>
      </c>
    </row>
    <row r="167" spans="1:22" ht="16.5" x14ac:dyDescent="0.4">
      <c r="A167" s="4" t="s">
        <v>92</v>
      </c>
      <c r="B167" s="70" t="s">
        <v>178</v>
      </c>
      <c r="C167" s="4" t="s">
        <v>133</v>
      </c>
      <c r="D167" s="4">
        <v>272</v>
      </c>
      <c r="E167" s="4">
        <v>179</v>
      </c>
      <c r="F167" s="5">
        <v>82241</v>
      </c>
      <c r="G167" s="5">
        <v>209686</v>
      </c>
      <c r="H167" s="6">
        <v>-127445</v>
      </c>
      <c r="I167" s="4" t="s">
        <v>101</v>
      </c>
      <c r="J167" s="5">
        <v>8230961</v>
      </c>
      <c r="K167" s="5">
        <v>82241</v>
      </c>
      <c r="L167" s="5">
        <v>17531686</v>
      </c>
      <c r="M167" s="5">
        <v>93250</v>
      </c>
      <c r="N167" s="7" t="s">
        <v>123</v>
      </c>
      <c r="O167" s="7" t="s">
        <v>481</v>
      </c>
      <c r="P167" s="11">
        <v>45342</v>
      </c>
      <c r="Q167" s="2" t="str">
        <f t="shared" si="16"/>
        <v>45342下午班本地所有</v>
      </c>
      <c r="R167" s="2">
        <f t="shared" si="22"/>
        <v>17531686</v>
      </c>
      <c r="S167" s="2">
        <f t="shared" si="22"/>
        <v>93250</v>
      </c>
      <c r="T167" s="2" t="str">
        <f t="shared" si="18"/>
        <v>45342本地所有-下午班</v>
      </c>
      <c r="U167" s="2">
        <f t="shared" si="19"/>
        <v>5.3189400000000003E-3</v>
      </c>
      <c r="V167" s="2" t="str">
        <f t="shared" si="20"/>
        <v>林好男</v>
      </c>
    </row>
    <row r="168" spans="1:22" ht="16.5" x14ac:dyDescent="0.4">
      <c r="A168" s="4" t="s">
        <v>93</v>
      </c>
      <c r="B168" s="70" t="s">
        <v>104</v>
      </c>
      <c r="C168" s="4" t="s">
        <v>111</v>
      </c>
      <c r="D168" s="4">
        <v>152</v>
      </c>
      <c r="E168" s="4">
        <v>110</v>
      </c>
      <c r="F168" s="5">
        <v>37151</v>
      </c>
      <c r="G168" s="5">
        <v>115970</v>
      </c>
      <c r="H168" s="6">
        <v>-78819</v>
      </c>
      <c r="I168" s="4" t="s">
        <v>101</v>
      </c>
      <c r="J168" s="5">
        <v>6691741</v>
      </c>
      <c r="K168" s="5">
        <v>37151</v>
      </c>
      <c r="L168" s="5">
        <v>11487498</v>
      </c>
      <c r="M168" s="5">
        <v>40526</v>
      </c>
      <c r="N168" s="7" t="s">
        <v>400</v>
      </c>
      <c r="O168" s="7" t="s">
        <v>482</v>
      </c>
      <c r="P168" s="11">
        <v>45343</v>
      </c>
      <c r="Q168" s="2" t="str">
        <f t="shared" si="16"/>
        <v>45343早班本地一区</v>
      </c>
      <c r="R168" s="2">
        <f t="shared" si="22"/>
        <v>11487498</v>
      </c>
      <c r="S168" s="2">
        <f t="shared" si="22"/>
        <v>40526</v>
      </c>
      <c r="T168" s="2" t="str">
        <f t="shared" si="18"/>
        <v>45343本地一区-早班</v>
      </c>
      <c r="U168" s="2">
        <f t="shared" si="19"/>
        <v>3.52784E-3</v>
      </c>
      <c r="V168" s="2" t="str">
        <f t="shared" si="20"/>
        <v>陈楠</v>
      </c>
    </row>
    <row r="169" spans="1:22" ht="16.5" x14ac:dyDescent="0.4">
      <c r="A169" s="4" t="s">
        <v>93</v>
      </c>
      <c r="B169" s="70" t="s">
        <v>105</v>
      </c>
      <c r="C169" s="4" t="s">
        <v>110</v>
      </c>
      <c r="D169" s="4">
        <v>183</v>
      </c>
      <c r="E169" s="4">
        <v>125</v>
      </c>
      <c r="F169" s="5">
        <v>30512</v>
      </c>
      <c r="G169" s="5">
        <v>93717</v>
      </c>
      <c r="H169" s="6">
        <v>-63205</v>
      </c>
      <c r="I169" s="4" t="s">
        <v>101</v>
      </c>
      <c r="J169" s="5">
        <v>5363529</v>
      </c>
      <c r="K169" s="5">
        <v>30512</v>
      </c>
      <c r="L169" s="5">
        <v>8977376</v>
      </c>
      <c r="M169" s="5">
        <v>33124</v>
      </c>
      <c r="N169" s="7" t="s">
        <v>447</v>
      </c>
      <c r="O169" s="7" t="s">
        <v>483</v>
      </c>
      <c r="P169" s="11">
        <v>45343</v>
      </c>
      <c r="Q169" s="2" t="str">
        <f t="shared" si="16"/>
        <v>45343早班本地二区</v>
      </c>
      <c r="R169" s="2">
        <f t="shared" si="22"/>
        <v>8977376</v>
      </c>
      <c r="S169" s="2">
        <f t="shared" si="22"/>
        <v>33124</v>
      </c>
      <c r="T169" s="2" t="str">
        <f t="shared" si="18"/>
        <v>45343本地二区-早班</v>
      </c>
      <c r="U169" s="2">
        <f t="shared" si="19"/>
        <v>3.6897200000000001E-3</v>
      </c>
      <c r="V169" s="2" t="str">
        <f t="shared" si="20"/>
        <v>赵勇</v>
      </c>
    </row>
    <row r="170" spans="1:22" ht="16.5" x14ac:dyDescent="0.4">
      <c r="A170" s="4" t="s">
        <v>92</v>
      </c>
      <c r="B170" s="70" t="s">
        <v>178</v>
      </c>
      <c r="C170" s="4" t="s">
        <v>158</v>
      </c>
      <c r="D170" s="4">
        <v>196</v>
      </c>
      <c r="E170" s="4">
        <v>125</v>
      </c>
      <c r="F170" s="5">
        <v>56575</v>
      </c>
      <c r="G170" s="5">
        <v>209686</v>
      </c>
      <c r="H170" s="6">
        <v>-153111</v>
      </c>
      <c r="I170" s="4" t="s">
        <v>101</v>
      </c>
      <c r="J170" s="5">
        <v>4770417</v>
      </c>
      <c r="K170" s="5">
        <v>56575</v>
      </c>
      <c r="L170" s="5">
        <v>8585867</v>
      </c>
      <c r="M170" s="5">
        <v>62938</v>
      </c>
      <c r="N170" s="7" t="s">
        <v>473</v>
      </c>
      <c r="O170" s="7" t="s">
        <v>484</v>
      </c>
      <c r="P170" s="11">
        <v>45343</v>
      </c>
      <c r="Q170" s="2" t="str">
        <f t="shared" si="16"/>
        <v>45343下午班本地所有</v>
      </c>
      <c r="R170" s="2">
        <f t="shared" si="22"/>
        <v>8585867</v>
      </c>
      <c r="S170" s="2">
        <f t="shared" si="22"/>
        <v>62938</v>
      </c>
      <c r="T170" s="2" t="str">
        <f t="shared" si="18"/>
        <v>45343本地所有-下午班</v>
      </c>
      <c r="U170" s="2">
        <f t="shared" si="19"/>
        <v>7.3304199999999998E-3</v>
      </c>
      <c r="V170" s="2" t="str">
        <f t="shared" si="20"/>
        <v>李晓晗</v>
      </c>
    </row>
    <row r="171" spans="1:22" ht="16.5" x14ac:dyDescent="0.4">
      <c r="A171" s="4" t="s">
        <v>93</v>
      </c>
      <c r="B171" s="70" t="s">
        <v>178</v>
      </c>
      <c r="C171" s="4" t="s">
        <v>110</v>
      </c>
      <c r="D171" s="4">
        <v>250</v>
      </c>
      <c r="E171" s="4">
        <v>155</v>
      </c>
      <c r="F171" s="5">
        <v>51464</v>
      </c>
      <c r="G171" s="5">
        <v>209686</v>
      </c>
      <c r="H171" s="6">
        <v>-158222</v>
      </c>
      <c r="I171" s="4" t="s">
        <v>101</v>
      </c>
      <c r="J171" s="5">
        <v>4380267</v>
      </c>
      <c r="K171" s="5">
        <v>51464</v>
      </c>
      <c r="L171" s="5">
        <v>10553466</v>
      </c>
      <c r="M171" s="5">
        <v>57675</v>
      </c>
      <c r="N171" s="7" t="s">
        <v>170</v>
      </c>
      <c r="O171" s="7" t="s">
        <v>485</v>
      </c>
      <c r="P171" s="11">
        <v>45344</v>
      </c>
      <c r="Q171" s="2" t="str">
        <f t="shared" si="16"/>
        <v>45344早班本地所有</v>
      </c>
      <c r="R171" s="2">
        <f t="shared" si="22"/>
        <v>10553466</v>
      </c>
      <c r="S171" s="2">
        <f t="shared" si="22"/>
        <v>57675</v>
      </c>
      <c r="T171" s="2" t="str">
        <f t="shared" si="18"/>
        <v>45344本地所有-早班</v>
      </c>
      <c r="U171" s="2">
        <f t="shared" si="19"/>
        <v>5.4650300000000001E-3</v>
      </c>
      <c r="V171" s="2" t="str">
        <f t="shared" si="20"/>
        <v>赵勇</v>
      </c>
    </row>
    <row r="172" spans="1:22" ht="16.5" x14ac:dyDescent="0.4">
      <c r="A172" s="4" t="s">
        <v>92</v>
      </c>
      <c r="B172" s="70" t="s">
        <v>104</v>
      </c>
      <c r="C172" s="4" t="s">
        <v>158</v>
      </c>
      <c r="D172" s="4">
        <v>176</v>
      </c>
      <c r="E172" s="4">
        <v>112</v>
      </c>
      <c r="F172" s="5">
        <v>51245</v>
      </c>
      <c r="G172" s="5">
        <v>115970</v>
      </c>
      <c r="H172" s="6">
        <v>-64725</v>
      </c>
      <c r="I172" s="4" t="s">
        <v>101</v>
      </c>
      <c r="J172" s="5">
        <v>3001573</v>
      </c>
      <c r="K172" s="5">
        <v>51245</v>
      </c>
      <c r="L172" s="5">
        <v>6634036</v>
      </c>
      <c r="M172" s="5">
        <v>58597</v>
      </c>
      <c r="N172" s="7" t="s">
        <v>132</v>
      </c>
      <c r="O172" s="7" t="s">
        <v>486</v>
      </c>
      <c r="P172" s="11">
        <v>45344</v>
      </c>
      <c r="Q172" s="2" t="str">
        <f t="shared" si="16"/>
        <v>45344下午班本地一区</v>
      </c>
      <c r="R172" s="2">
        <f t="shared" si="22"/>
        <v>6634036</v>
      </c>
      <c r="S172" s="2">
        <f t="shared" si="22"/>
        <v>58597</v>
      </c>
      <c r="T172" s="2" t="str">
        <f t="shared" si="18"/>
        <v>45344本地一区-下午班</v>
      </c>
      <c r="U172" s="2">
        <f t="shared" si="19"/>
        <v>8.8327800000000001E-3</v>
      </c>
      <c r="V172" s="2" t="str">
        <f t="shared" si="20"/>
        <v>李晓晗</v>
      </c>
    </row>
    <row r="173" spans="1:22" ht="16.5" x14ac:dyDescent="0.4">
      <c r="A173" s="4" t="s">
        <v>92</v>
      </c>
      <c r="B173" s="70" t="s">
        <v>105</v>
      </c>
      <c r="C173" s="4" t="s">
        <v>111</v>
      </c>
      <c r="D173" s="4">
        <v>153</v>
      </c>
      <c r="E173" s="4">
        <v>104</v>
      </c>
      <c r="F173" s="5">
        <v>41701</v>
      </c>
      <c r="G173" s="5">
        <v>93717</v>
      </c>
      <c r="H173" s="6">
        <v>-52016</v>
      </c>
      <c r="I173" s="4" t="s">
        <v>101</v>
      </c>
      <c r="J173" s="5">
        <v>5035666</v>
      </c>
      <c r="K173" s="5">
        <v>41701</v>
      </c>
      <c r="L173" s="5">
        <v>8831748</v>
      </c>
      <c r="M173" s="5">
        <v>45755</v>
      </c>
      <c r="N173" s="7" t="s">
        <v>166</v>
      </c>
      <c r="O173" s="7" t="s">
        <v>487</v>
      </c>
      <c r="P173" s="11">
        <v>45344</v>
      </c>
      <c r="Q173" s="2" t="str">
        <f t="shared" si="16"/>
        <v>45344下午班本地二区</v>
      </c>
      <c r="R173" s="2">
        <f t="shared" si="22"/>
        <v>8831748</v>
      </c>
      <c r="S173" s="2">
        <f t="shared" si="22"/>
        <v>45755</v>
      </c>
      <c r="T173" s="2" t="str">
        <f t="shared" si="18"/>
        <v>45344本地二区-下午班</v>
      </c>
      <c r="U173" s="2">
        <f t="shared" si="19"/>
        <v>5.1807399999999997E-3</v>
      </c>
      <c r="V173" s="2" t="str">
        <f t="shared" si="20"/>
        <v>陈楠</v>
      </c>
    </row>
    <row r="174" spans="1:22" ht="16.5" x14ac:dyDescent="0.4">
      <c r="A174" s="4" t="s">
        <v>93</v>
      </c>
      <c r="B174" s="70" t="s">
        <v>104</v>
      </c>
      <c r="C174" s="4" t="s">
        <v>133</v>
      </c>
      <c r="D174" s="4">
        <v>150</v>
      </c>
      <c r="E174" s="4">
        <v>110</v>
      </c>
      <c r="F174" s="5">
        <v>38884</v>
      </c>
      <c r="G174" s="5">
        <v>115970</v>
      </c>
      <c r="H174" s="6">
        <v>-77086</v>
      </c>
      <c r="I174" s="4" t="s">
        <v>101</v>
      </c>
      <c r="J174" s="5">
        <v>6152591</v>
      </c>
      <c r="K174" s="5">
        <v>38884</v>
      </c>
      <c r="L174" s="5">
        <v>9958064</v>
      </c>
      <c r="M174" s="5">
        <v>42689</v>
      </c>
      <c r="N174" s="7" t="s">
        <v>389</v>
      </c>
      <c r="O174" s="7" t="s">
        <v>489</v>
      </c>
      <c r="P174" s="11">
        <v>45345</v>
      </c>
      <c r="Q174" s="2" t="str">
        <f t="shared" si="16"/>
        <v>45345早班本地一区</v>
      </c>
      <c r="R174" s="2">
        <f t="shared" si="22"/>
        <v>9958064</v>
      </c>
      <c r="S174" s="2">
        <f t="shared" si="22"/>
        <v>42689</v>
      </c>
      <c r="T174" s="2" t="str">
        <f t="shared" si="18"/>
        <v>45345本地一区-早班</v>
      </c>
      <c r="U174" s="2">
        <f t="shared" si="19"/>
        <v>4.2868799999999999E-3</v>
      </c>
      <c r="V174" s="2" t="str">
        <f t="shared" si="20"/>
        <v>林好男</v>
      </c>
    </row>
    <row r="175" spans="1:22" ht="16.5" x14ac:dyDescent="0.4">
      <c r="A175" s="4" t="s">
        <v>93</v>
      </c>
      <c r="B175" s="70" t="s">
        <v>105</v>
      </c>
      <c r="C175" s="4" t="s">
        <v>122</v>
      </c>
      <c r="D175" s="4">
        <v>192</v>
      </c>
      <c r="E175" s="4">
        <v>103</v>
      </c>
      <c r="F175" s="5">
        <v>27381</v>
      </c>
      <c r="G175" s="5">
        <v>93717</v>
      </c>
      <c r="H175" s="6">
        <v>-66336</v>
      </c>
      <c r="I175" s="4" t="s">
        <v>101</v>
      </c>
      <c r="J175" s="5">
        <v>3888103</v>
      </c>
      <c r="K175" s="5">
        <v>27381</v>
      </c>
      <c r="L175" s="5">
        <v>7381862</v>
      </c>
      <c r="M175" s="5">
        <v>29816</v>
      </c>
      <c r="N175" s="7" t="s">
        <v>172</v>
      </c>
      <c r="O175" s="7" t="s">
        <v>490</v>
      </c>
      <c r="P175" s="11">
        <v>45345</v>
      </c>
      <c r="Q175" s="2" t="str">
        <f t="shared" si="16"/>
        <v>45345早班本地二区</v>
      </c>
      <c r="R175" s="2">
        <f t="shared" si="22"/>
        <v>7381862</v>
      </c>
      <c r="S175" s="2">
        <f t="shared" si="22"/>
        <v>29816</v>
      </c>
      <c r="T175" s="2" t="str">
        <f t="shared" si="18"/>
        <v>45345本地二区-早班</v>
      </c>
      <c r="U175" s="2">
        <f t="shared" si="19"/>
        <v>4.0390900000000004E-3</v>
      </c>
      <c r="V175" s="2" t="str">
        <f t="shared" si="20"/>
        <v>赵依然</v>
      </c>
    </row>
    <row r="176" spans="1:22" ht="16.5" x14ac:dyDescent="0.4">
      <c r="A176" s="4" t="s">
        <v>92</v>
      </c>
      <c r="B176" s="70" t="s">
        <v>178</v>
      </c>
      <c r="C176" s="4" t="s">
        <v>110</v>
      </c>
      <c r="D176" s="4">
        <v>229</v>
      </c>
      <c r="E176" s="4">
        <v>144</v>
      </c>
      <c r="F176" s="5">
        <v>68274</v>
      </c>
      <c r="G176" s="5">
        <v>209686</v>
      </c>
      <c r="H176" s="6">
        <v>-141412</v>
      </c>
      <c r="I176" s="4" t="s">
        <v>101</v>
      </c>
      <c r="J176" s="5">
        <v>6035339</v>
      </c>
      <c r="K176" s="5">
        <v>68274</v>
      </c>
      <c r="L176" s="5">
        <v>13294344</v>
      </c>
      <c r="M176" s="5">
        <v>76926</v>
      </c>
      <c r="N176" s="7" t="s">
        <v>488</v>
      </c>
      <c r="O176" s="7" t="s">
        <v>491</v>
      </c>
      <c r="P176" s="11">
        <v>45345</v>
      </c>
      <c r="Q176" s="2" t="str">
        <f t="shared" si="16"/>
        <v>45345下午班本地所有</v>
      </c>
      <c r="R176" s="2">
        <f t="shared" si="22"/>
        <v>13294344</v>
      </c>
      <c r="S176" s="2">
        <f t="shared" si="22"/>
        <v>76926</v>
      </c>
      <c r="T176" s="2" t="str">
        <f t="shared" si="18"/>
        <v>45345本地所有-下午班</v>
      </c>
      <c r="U176" s="2">
        <f t="shared" si="19"/>
        <v>5.7863699999999999E-3</v>
      </c>
      <c r="V176" s="2" t="str">
        <f t="shared" si="20"/>
        <v>赵勇</v>
      </c>
    </row>
    <row r="177" spans="1:22" ht="16.5" x14ac:dyDescent="0.4">
      <c r="A177" s="4" t="s">
        <v>93</v>
      </c>
      <c r="B177" s="70" t="s">
        <v>104</v>
      </c>
      <c r="C177" s="4" t="s">
        <v>158</v>
      </c>
      <c r="D177" s="4">
        <v>185</v>
      </c>
      <c r="E177" s="4">
        <v>102</v>
      </c>
      <c r="F177" s="5">
        <v>30732</v>
      </c>
      <c r="G177" s="5">
        <v>115970</v>
      </c>
      <c r="H177" s="6">
        <v>-85238</v>
      </c>
      <c r="I177" s="4" t="s">
        <v>101</v>
      </c>
      <c r="J177" s="5">
        <v>873388</v>
      </c>
      <c r="K177" s="5">
        <v>30732</v>
      </c>
      <c r="L177" s="5">
        <v>4830694</v>
      </c>
      <c r="M177" s="5">
        <v>34285</v>
      </c>
      <c r="N177" s="7" t="s">
        <v>492</v>
      </c>
      <c r="O177" s="7" t="s">
        <v>493</v>
      </c>
      <c r="P177" s="11">
        <v>45346</v>
      </c>
      <c r="Q177" s="2" t="str">
        <f t="shared" si="16"/>
        <v>45346早班本地一区</v>
      </c>
      <c r="R177" s="2">
        <f t="shared" si="22"/>
        <v>4830694</v>
      </c>
      <c r="S177" s="2">
        <f t="shared" si="22"/>
        <v>34285</v>
      </c>
      <c r="T177" s="2" t="str">
        <f t="shared" si="18"/>
        <v>45346本地一区-早班</v>
      </c>
      <c r="U177" s="2">
        <f t="shared" si="19"/>
        <v>7.0973199999999998E-3</v>
      </c>
      <c r="V177" s="2" t="str">
        <f t="shared" si="20"/>
        <v>李晓晗</v>
      </c>
    </row>
    <row r="178" spans="1:22" ht="16.5" x14ac:dyDescent="0.4">
      <c r="A178" s="4" t="s">
        <v>93</v>
      </c>
      <c r="B178" s="70" t="s">
        <v>105</v>
      </c>
      <c r="C178" s="4" t="s">
        <v>122</v>
      </c>
      <c r="D178" s="4">
        <v>178</v>
      </c>
      <c r="E178" s="4">
        <v>100</v>
      </c>
      <c r="F178" s="5">
        <v>24223</v>
      </c>
      <c r="G178" s="5">
        <v>93717</v>
      </c>
      <c r="H178" s="6">
        <v>-69494</v>
      </c>
      <c r="I178" s="4" t="s">
        <v>101</v>
      </c>
      <c r="J178" s="5">
        <v>2005067</v>
      </c>
      <c r="K178" s="5">
        <v>24223</v>
      </c>
      <c r="L178" s="5">
        <v>5072420</v>
      </c>
      <c r="M178" s="5">
        <v>26536</v>
      </c>
      <c r="N178" s="7" t="s">
        <v>409</v>
      </c>
      <c r="O178" s="7" t="s">
        <v>494</v>
      </c>
      <c r="P178" s="11">
        <v>45346</v>
      </c>
      <c r="Q178" s="2" t="str">
        <f t="shared" si="16"/>
        <v>45346早班本地二区</v>
      </c>
      <c r="R178" s="2">
        <f t="shared" ref="R178:S193" si="23">L178</f>
        <v>5072420</v>
      </c>
      <c r="S178" s="2">
        <f t="shared" si="23"/>
        <v>26536</v>
      </c>
      <c r="T178" s="2" t="str">
        <f t="shared" si="18"/>
        <v>45346本地二区-早班</v>
      </c>
      <c r="U178" s="2">
        <f t="shared" si="19"/>
        <v>5.2314299999999996E-3</v>
      </c>
      <c r="V178" s="2" t="str">
        <f t="shared" si="20"/>
        <v>赵依然</v>
      </c>
    </row>
    <row r="179" spans="1:22" ht="16.5" x14ac:dyDescent="0.4">
      <c r="A179" s="4" t="s">
        <v>92</v>
      </c>
      <c r="B179" s="70" t="s">
        <v>178</v>
      </c>
      <c r="C179" s="4" t="s">
        <v>133</v>
      </c>
      <c r="D179" s="4">
        <v>273</v>
      </c>
      <c r="E179" s="4">
        <v>173</v>
      </c>
      <c r="F179" s="5">
        <v>66088</v>
      </c>
      <c r="G179" s="5">
        <v>209686</v>
      </c>
      <c r="H179" s="6">
        <v>-143598</v>
      </c>
      <c r="I179" s="4" t="s">
        <v>101</v>
      </c>
      <c r="J179" s="5">
        <v>7418904</v>
      </c>
      <c r="K179" s="5">
        <v>66088</v>
      </c>
      <c r="L179" s="5">
        <v>15006294</v>
      </c>
      <c r="M179" s="5">
        <v>75748</v>
      </c>
      <c r="N179" s="7" t="s">
        <v>424</v>
      </c>
      <c r="O179" s="7" t="s">
        <v>495</v>
      </c>
      <c r="P179" s="11">
        <v>45346</v>
      </c>
      <c r="Q179" s="2" t="str">
        <f t="shared" si="16"/>
        <v>45346下午班本地所有</v>
      </c>
      <c r="R179" s="2">
        <f t="shared" si="23"/>
        <v>15006294</v>
      </c>
      <c r="S179" s="2">
        <f t="shared" si="23"/>
        <v>75748</v>
      </c>
      <c r="T179" s="2" t="str">
        <f t="shared" si="18"/>
        <v>45346本地所有-下午班</v>
      </c>
      <c r="U179" s="2">
        <f t="shared" si="19"/>
        <v>5.0477500000000002E-3</v>
      </c>
      <c r="V179" s="2" t="str">
        <f t="shared" si="20"/>
        <v>林好男</v>
      </c>
    </row>
    <row r="180" spans="1:22" ht="16.5" x14ac:dyDescent="0.4">
      <c r="A180" s="4" t="s">
        <v>93</v>
      </c>
      <c r="B180" s="70" t="s">
        <v>104</v>
      </c>
      <c r="C180" s="4" t="s">
        <v>111</v>
      </c>
      <c r="D180" s="4">
        <v>154</v>
      </c>
      <c r="E180" s="4">
        <v>108</v>
      </c>
      <c r="F180" s="5">
        <v>32221</v>
      </c>
      <c r="G180" s="5">
        <v>115970</v>
      </c>
      <c r="H180" s="6">
        <v>-83749</v>
      </c>
      <c r="I180" s="4" t="s">
        <v>101</v>
      </c>
      <c r="J180" s="5">
        <v>6912409</v>
      </c>
      <c r="K180" s="5">
        <v>32221</v>
      </c>
      <c r="L180" s="5">
        <v>10161628</v>
      </c>
      <c r="M180" s="5">
        <v>34058</v>
      </c>
      <c r="N180" s="7" t="s">
        <v>370</v>
      </c>
      <c r="O180" s="7" t="s">
        <v>496</v>
      </c>
      <c r="P180" s="11">
        <v>45347</v>
      </c>
      <c r="Q180" s="2" t="str">
        <f t="shared" si="16"/>
        <v>45347早班本地一区</v>
      </c>
      <c r="R180" s="2">
        <f t="shared" si="23"/>
        <v>10161628</v>
      </c>
      <c r="S180" s="2">
        <f t="shared" si="23"/>
        <v>34058</v>
      </c>
      <c r="T180" s="2" t="str">
        <f t="shared" si="18"/>
        <v>45347本地一区-早班</v>
      </c>
      <c r="U180" s="2">
        <f t="shared" si="19"/>
        <v>3.35163E-3</v>
      </c>
      <c r="V180" s="2" t="str">
        <f t="shared" si="20"/>
        <v>陈楠</v>
      </c>
    </row>
    <row r="181" spans="1:22" ht="16.5" x14ac:dyDescent="0.4">
      <c r="A181" s="4" t="s">
        <v>93</v>
      </c>
      <c r="B181" s="70" t="s">
        <v>105</v>
      </c>
      <c r="C181" s="4" t="s">
        <v>158</v>
      </c>
      <c r="D181" s="4">
        <v>185</v>
      </c>
      <c r="E181" s="4">
        <v>108</v>
      </c>
      <c r="F181" s="5">
        <v>25285</v>
      </c>
      <c r="G181" s="5">
        <v>93717</v>
      </c>
      <c r="H181" s="6">
        <v>-68432</v>
      </c>
      <c r="I181" s="4" t="s">
        <v>101</v>
      </c>
      <c r="J181" s="5">
        <v>1145574</v>
      </c>
      <c r="K181" s="5">
        <v>25285</v>
      </c>
      <c r="L181" s="5">
        <v>4086332</v>
      </c>
      <c r="M181" s="5">
        <v>28585</v>
      </c>
      <c r="N181" s="7" t="s">
        <v>497</v>
      </c>
      <c r="O181" s="7" t="s">
        <v>498</v>
      </c>
      <c r="P181" s="11">
        <v>45347</v>
      </c>
      <c r="Q181" s="2" t="str">
        <f t="shared" si="16"/>
        <v>45347早班本地二区</v>
      </c>
      <c r="R181" s="2">
        <f t="shared" si="23"/>
        <v>4086332</v>
      </c>
      <c r="S181" s="2">
        <f t="shared" si="23"/>
        <v>28585</v>
      </c>
      <c r="T181" s="2" t="str">
        <f t="shared" si="18"/>
        <v>45347本地二区-早班</v>
      </c>
      <c r="U181" s="2">
        <f t="shared" si="19"/>
        <v>6.9952699999999996E-3</v>
      </c>
      <c r="V181" s="2" t="str">
        <f t="shared" si="20"/>
        <v>李晓晗</v>
      </c>
    </row>
    <row r="182" spans="1:22" ht="16.5" x14ac:dyDescent="0.4">
      <c r="A182" s="4" t="s">
        <v>92</v>
      </c>
      <c r="B182" s="70" t="s">
        <v>178</v>
      </c>
      <c r="C182" s="4" t="s">
        <v>122</v>
      </c>
      <c r="D182" s="4">
        <v>174</v>
      </c>
      <c r="E182" s="4">
        <v>103</v>
      </c>
      <c r="F182" s="5">
        <v>42974</v>
      </c>
      <c r="G182" s="5">
        <v>209686</v>
      </c>
      <c r="H182" s="6">
        <v>-166712</v>
      </c>
      <c r="I182" s="4" t="s">
        <v>101</v>
      </c>
      <c r="J182" s="5">
        <v>6813669</v>
      </c>
      <c r="K182" s="5">
        <v>42974</v>
      </c>
      <c r="L182" s="5">
        <v>12131449</v>
      </c>
      <c r="M182" s="5">
        <v>47758</v>
      </c>
      <c r="N182" s="7" t="s">
        <v>389</v>
      </c>
      <c r="O182" s="7" t="s">
        <v>499</v>
      </c>
      <c r="P182" s="11">
        <v>45347</v>
      </c>
      <c r="Q182" s="2" t="str">
        <f t="shared" si="16"/>
        <v>45347下午班本地所有</v>
      </c>
      <c r="R182" s="2">
        <f t="shared" si="23"/>
        <v>12131449</v>
      </c>
      <c r="S182" s="2">
        <f t="shared" si="23"/>
        <v>47758</v>
      </c>
      <c r="T182" s="2" t="str">
        <f t="shared" si="18"/>
        <v>45347本地所有-下午班</v>
      </c>
      <c r="U182" s="2">
        <f t="shared" si="19"/>
        <v>3.9367100000000004E-3</v>
      </c>
      <c r="V182" s="2" t="str">
        <f t="shared" si="20"/>
        <v>赵依然</v>
      </c>
    </row>
    <row r="183" spans="1:22" ht="16.5" x14ac:dyDescent="0.4">
      <c r="A183" s="4" t="s">
        <v>93</v>
      </c>
      <c r="B183" s="70" t="s">
        <v>104</v>
      </c>
      <c r="C183" s="4" t="s">
        <v>110</v>
      </c>
      <c r="D183" s="4">
        <v>171</v>
      </c>
      <c r="E183" s="4">
        <v>116</v>
      </c>
      <c r="F183" s="5">
        <v>36003</v>
      </c>
      <c r="G183" s="5">
        <v>115970</v>
      </c>
      <c r="H183" s="6">
        <v>-79967</v>
      </c>
      <c r="I183" s="4" t="s">
        <v>101</v>
      </c>
      <c r="J183" s="5">
        <v>4994036</v>
      </c>
      <c r="K183" s="5">
        <v>36003</v>
      </c>
      <c r="L183" s="5">
        <v>9308022</v>
      </c>
      <c r="M183" s="5">
        <v>39940</v>
      </c>
      <c r="N183" s="7" t="s">
        <v>448</v>
      </c>
      <c r="O183" s="7" t="s">
        <v>500</v>
      </c>
      <c r="P183" s="11">
        <v>45348</v>
      </c>
      <c r="Q183" s="2" t="str">
        <f t="shared" si="16"/>
        <v>45348早班本地一区</v>
      </c>
      <c r="R183" s="2">
        <f t="shared" si="23"/>
        <v>9308022</v>
      </c>
      <c r="S183" s="2">
        <f t="shared" si="23"/>
        <v>39940</v>
      </c>
      <c r="T183" s="2" t="str">
        <f t="shared" si="18"/>
        <v>45348本地一区-早班</v>
      </c>
      <c r="U183" s="2">
        <f t="shared" si="19"/>
        <v>4.2909200000000002E-3</v>
      </c>
      <c r="V183" s="2" t="str">
        <f t="shared" si="20"/>
        <v>赵勇</v>
      </c>
    </row>
    <row r="184" spans="1:22" ht="16.5" x14ac:dyDescent="0.4">
      <c r="A184" s="4" t="s">
        <v>93</v>
      </c>
      <c r="B184" s="70" t="s">
        <v>105</v>
      </c>
      <c r="C184" s="4" t="s">
        <v>133</v>
      </c>
      <c r="D184" s="4">
        <v>139</v>
      </c>
      <c r="E184" s="4">
        <v>92</v>
      </c>
      <c r="F184" s="5">
        <v>20622</v>
      </c>
      <c r="G184" s="5">
        <v>93717</v>
      </c>
      <c r="H184" s="6">
        <v>-73095</v>
      </c>
      <c r="I184" s="4" t="s">
        <v>101</v>
      </c>
      <c r="J184" s="5">
        <v>588386</v>
      </c>
      <c r="K184" s="5">
        <v>20622</v>
      </c>
      <c r="L184" s="5">
        <v>3111571</v>
      </c>
      <c r="M184" s="5">
        <v>23093</v>
      </c>
      <c r="N184" s="7" t="s">
        <v>501</v>
      </c>
      <c r="O184" s="7" t="s">
        <v>502</v>
      </c>
      <c r="P184" s="11">
        <v>45348</v>
      </c>
      <c r="Q184" s="2" t="str">
        <f t="shared" si="16"/>
        <v>45348早班本地二区</v>
      </c>
      <c r="R184" s="2">
        <f t="shared" si="23"/>
        <v>3111571</v>
      </c>
      <c r="S184" s="2">
        <f t="shared" si="23"/>
        <v>23093</v>
      </c>
      <c r="T184" s="2" t="str">
        <f t="shared" si="18"/>
        <v>45348本地二区-早班</v>
      </c>
      <c r="U184" s="2">
        <f t="shared" si="19"/>
        <v>7.4216500000000001E-3</v>
      </c>
      <c r="V184" s="2" t="str">
        <f t="shared" si="20"/>
        <v>林好男</v>
      </c>
    </row>
    <row r="185" spans="1:22" ht="16.5" x14ac:dyDescent="0.4">
      <c r="A185" s="4" t="s">
        <v>92</v>
      </c>
      <c r="B185" s="70" t="s">
        <v>104</v>
      </c>
      <c r="C185" s="4" t="s">
        <v>111</v>
      </c>
      <c r="D185" s="4">
        <v>158</v>
      </c>
      <c r="E185" s="4">
        <v>109</v>
      </c>
      <c r="F185" s="5">
        <v>43252</v>
      </c>
      <c r="G185" s="5">
        <v>115970</v>
      </c>
      <c r="H185" s="6">
        <v>-72718</v>
      </c>
      <c r="I185" s="4" t="s">
        <v>101</v>
      </c>
      <c r="J185" s="5">
        <v>3074157</v>
      </c>
      <c r="K185" s="5">
        <v>43252</v>
      </c>
      <c r="L185" s="5">
        <v>6279753</v>
      </c>
      <c r="M185" s="5">
        <v>47354</v>
      </c>
      <c r="N185" s="7" t="s">
        <v>429</v>
      </c>
      <c r="O185" s="7" t="s">
        <v>503</v>
      </c>
      <c r="P185" s="11">
        <v>45348</v>
      </c>
      <c r="Q185" s="2" t="str">
        <f t="shared" si="16"/>
        <v>45348下午班本地一区</v>
      </c>
      <c r="R185" s="2">
        <f t="shared" si="23"/>
        <v>6279753</v>
      </c>
      <c r="S185" s="2">
        <f t="shared" si="23"/>
        <v>47354</v>
      </c>
      <c r="T185" s="2" t="str">
        <f t="shared" si="18"/>
        <v>45348本地一区-下午班</v>
      </c>
      <c r="U185" s="2">
        <f t="shared" si="19"/>
        <v>7.5407399999999998E-3</v>
      </c>
      <c r="V185" s="2" t="str">
        <f t="shared" si="20"/>
        <v>陈楠</v>
      </c>
    </row>
    <row r="186" spans="1:22" ht="16.5" x14ac:dyDescent="0.4">
      <c r="A186" s="4" t="s">
        <v>92</v>
      </c>
      <c r="B186" s="70" t="s">
        <v>105</v>
      </c>
      <c r="C186" s="4" t="s">
        <v>122</v>
      </c>
      <c r="D186" s="4">
        <v>151</v>
      </c>
      <c r="E186" s="4">
        <v>101</v>
      </c>
      <c r="F186" s="5">
        <v>45505</v>
      </c>
      <c r="G186" s="5">
        <v>93717</v>
      </c>
      <c r="H186" s="6">
        <v>-48212</v>
      </c>
      <c r="I186" s="4" t="s">
        <v>101</v>
      </c>
      <c r="J186" s="5">
        <v>6764825</v>
      </c>
      <c r="K186" s="5">
        <v>45505</v>
      </c>
      <c r="L186" s="5">
        <v>10667498</v>
      </c>
      <c r="M186" s="5">
        <v>49890</v>
      </c>
      <c r="N186" s="7" t="s">
        <v>299</v>
      </c>
      <c r="O186" s="7" t="s">
        <v>504</v>
      </c>
      <c r="P186" s="11">
        <v>45348</v>
      </c>
      <c r="Q186" s="2" t="str">
        <f t="shared" si="16"/>
        <v>45348下午班本地二区</v>
      </c>
      <c r="R186" s="2">
        <f t="shared" si="23"/>
        <v>10667498</v>
      </c>
      <c r="S186" s="2">
        <f t="shared" si="23"/>
        <v>49890</v>
      </c>
      <c r="T186" s="2" t="str">
        <f t="shared" si="18"/>
        <v>45348本地二区-下午班</v>
      </c>
      <c r="U186" s="2">
        <f t="shared" si="19"/>
        <v>4.6768199999999999E-3</v>
      </c>
      <c r="V186" s="2" t="str">
        <f t="shared" si="20"/>
        <v>赵依然</v>
      </c>
    </row>
    <row r="187" spans="1:22" ht="16.5" x14ac:dyDescent="0.4">
      <c r="A187" s="4" t="s">
        <v>93</v>
      </c>
      <c r="B187" s="70" t="s">
        <v>104</v>
      </c>
      <c r="C187" s="4" t="s">
        <v>133</v>
      </c>
      <c r="D187" s="4">
        <v>172</v>
      </c>
      <c r="E187" s="4">
        <v>122</v>
      </c>
      <c r="F187" s="5">
        <v>34711</v>
      </c>
      <c r="G187" s="5">
        <v>115970</v>
      </c>
      <c r="H187" s="6">
        <v>-81259</v>
      </c>
      <c r="I187" s="4" t="s">
        <v>101</v>
      </c>
      <c r="J187" s="5">
        <v>4052041</v>
      </c>
      <c r="K187" s="5">
        <v>34711</v>
      </c>
      <c r="L187" s="5">
        <v>9394493</v>
      </c>
      <c r="M187" s="5">
        <v>38524</v>
      </c>
      <c r="N187" s="7" t="s">
        <v>143</v>
      </c>
      <c r="O187" s="7" t="s">
        <v>505</v>
      </c>
      <c r="P187" s="11">
        <v>45349</v>
      </c>
      <c r="Q187" s="2" t="str">
        <f t="shared" si="16"/>
        <v>45349早班本地一区</v>
      </c>
      <c r="R187" s="2">
        <f t="shared" si="23"/>
        <v>9394493</v>
      </c>
      <c r="S187" s="2">
        <f t="shared" si="23"/>
        <v>38524</v>
      </c>
      <c r="T187" s="2" t="str">
        <f t="shared" si="18"/>
        <v>45349本地一区-早班</v>
      </c>
      <c r="U187" s="2">
        <f t="shared" si="19"/>
        <v>4.1006999999999997E-3</v>
      </c>
      <c r="V187" s="2" t="str">
        <f t="shared" si="20"/>
        <v>林好男</v>
      </c>
    </row>
    <row r="188" spans="1:22" ht="16.5" x14ac:dyDescent="0.4">
      <c r="A188" s="4" t="s">
        <v>93</v>
      </c>
      <c r="B188" s="70" t="s">
        <v>105</v>
      </c>
      <c r="C188" s="4" t="s">
        <v>110</v>
      </c>
      <c r="D188" s="4">
        <v>165</v>
      </c>
      <c r="E188" s="4">
        <v>118</v>
      </c>
      <c r="F188" s="5">
        <v>28465</v>
      </c>
      <c r="G188" s="5">
        <v>93717</v>
      </c>
      <c r="H188" s="6">
        <v>-65252</v>
      </c>
      <c r="I188" s="4" t="s">
        <v>101</v>
      </c>
      <c r="J188" s="5">
        <v>4114593</v>
      </c>
      <c r="K188" s="5">
        <v>28465</v>
      </c>
      <c r="L188" s="5">
        <v>7215522</v>
      </c>
      <c r="M188" s="5">
        <v>31050</v>
      </c>
      <c r="N188" s="7" t="s">
        <v>467</v>
      </c>
      <c r="O188" s="7" t="s">
        <v>506</v>
      </c>
      <c r="P188" s="11">
        <v>45349</v>
      </c>
      <c r="Q188" s="2" t="str">
        <f t="shared" si="16"/>
        <v>45349早班本地二区</v>
      </c>
      <c r="R188" s="2">
        <f t="shared" si="23"/>
        <v>7215522</v>
      </c>
      <c r="S188" s="2">
        <f t="shared" si="23"/>
        <v>31050</v>
      </c>
      <c r="T188" s="2" t="str">
        <f t="shared" si="18"/>
        <v>45349本地二区-早班</v>
      </c>
      <c r="U188" s="2">
        <f t="shared" si="19"/>
        <v>4.30322E-3</v>
      </c>
      <c r="V188" s="2" t="str">
        <f t="shared" si="20"/>
        <v>赵勇</v>
      </c>
    </row>
    <row r="189" spans="1:22" ht="16.5" x14ac:dyDescent="0.4">
      <c r="A189" s="4" t="s">
        <v>92</v>
      </c>
      <c r="B189" s="70" t="s">
        <v>178</v>
      </c>
      <c r="C189" s="4" t="s">
        <v>122</v>
      </c>
      <c r="D189" s="4">
        <v>163</v>
      </c>
      <c r="E189" s="4">
        <v>119</v>
      </c>
      <c r="F189" s="5">
        <v>57543</v>
      </c>
      <c r="G189" s="5">
        <v>209686</v>
      </c>
      <c r="H189" s="6">
        <v>-152143</v>
      </c>
      <c r="I189" s="4" t="s">
        <v>101</v>
      </c>
      <c r="J189" s="5">
        <v>6900311</v>
      </c>
      <c r="K189" s="5">
        <v>57543</v>
      </c>
      <c r="L189" s="5">
        <v>12224710</v>
      </c>
      <c r="M189" s="5">
        <v>62583</v>
      </c>
      <c r="N189" s="7" t="s">
        <v>166</v>
      </c>
      <c r="O189" s="7" t="s">
        <v>507</v>
      </c>
      <c r="P189" s="11">
        <v>45349</v>
      </c>
      <c r="Q189" s="2" t="str">
        <f t="shared" si="16"/>
        <v>45349下午班本地所有</v>
      </c>
      <c r="R189" s="2">
        <f t="shared" si="23"/>
        <v>12224710</v>
      </c>
      <c r="S189" s="2">
        <f t="shared" si="23"/>
        <v>62583</v>
      </c>
      <c r="T189" s="2" t="str">
        <f t="shared" si="18"/>
        <v>45349本地所有-下午班</v>
      </c>
      <c r="U189" s="2">
        <f t="shared" si="19"/>
        <v>5.1193899999999997E-3</v>
      </c>
      <c r="V189" s="2" t="str">
        <f t="shared" si="20"/>
        <v>赵依然</v>
      </c>
    </row>
    <row r="190" spans="1:22" ht="16.5" x14ac:dyDescent="0.4">
      <c r="A190" s="4" t="s">
        <v>93</v>
      </c>
      <c r="B190" s="70" t="s">
        <v>104</v>
      </c>
      <c r="C190" s="4" t="s">
        <v>111</v>
      </c>
      <c r="D190" s="4">
        <v>151</v>
      </c>
      <c r="E190" s="4">
        <v>104</v>
      </c>
      <c r="F190" s="5">
        <v>39098</v>
      </c>
      <c r="G190" s="5">
        <v>115970</v>
      </c>
      <c r="H190" s="6">
        <v>-76872</v>
      </c>
      <c r="I190" s="4" t="s">
        <v>101</v>
      </c>
      <c r="J190" s="5">
        <v>7165616</v>
      </c>
      <c r="K190" s="5">
        <v>39098</v>
      </c>
      <c r="L190" s="5">
        <v>10185193</v>
      </c>
      <c r="M190" s="5">
        <v>40924</v>
      </c>
      <c r="N190" s="7" t="s">
        <v>458</v>
      </c>
      <c r="O190" s="7" t="s">
        <v>510</v>
      </c>
      <c r="P190" s="11">
        <v>45350</v>
      </c>
      <c r="Q190" s="2" t="str">
        <f t="shared" si="16"/>
        <v>45350早班本地一区</v>
      </c>
      <c r="R190" s="2">
        <f t="shared" si="23"/>
        <v>10185193</v>
      </c>
      <c r="S190" s="2">
        <f t="shared" si="23"/>
        <v>40924</v>
      </c>
      <c r="T190" s="2" t="str">
        <f t="shared" si="18"/>
        <v>45350本地一区-早班</v>
      </c>
      <c r="U190" s="2">
        <f t="shared" si="19"/>
        <v>4.0179899999999999E-3</v>
      </c>
      <c r="V190" s="2" t="str">
        <f t="shared" si="20"/>
        <v>陈楠</v>
      </c>
    </row>
    <row r="191" spans="1:22" ht="16.5" x14ac:dyDescent="0.4">
      <c r="A191" s="4" t="s">
        <v>93</v>
      </c>
      <c r="B191" s="70" t="s">
        <v>105</v>
      </c>
      <c r="C191" s="4" t="s">
        <v>133</v>
      </c>
      <c r="D191" s="4">
        <v>159</v>
      </c>
      <c r="E191" s="4">
        <v>100</v>
      </c>
      <c r="F191" s="5">
        <v>29274</v>
      </c>
      <c r="G191" s="5">
        <v>93717</v>
      </c>
      <c r="H191" s="6">
        <v>-64443</v>
      </c>
      <c r="I191" s="4" t="s">
        <v>101</v>
      </c>
      <c r="J191" s="5">
        <v>6157914</v>
      </c>
      <c r="K191" s="5">
        <v>29274</v>
      </c>
      <c r="L191" s="5">
        <v>8940075</v>
      </c>
      <c r="M191" s="5">
        <v>31692</v>
      </c>
      <c r="N191" s="7" t="s">
        <v>442</v>
      </c>
      <c r="O191" s="7" t="s">
        <v>511</v>
      </c>
      <c r="P191" s="11">
        <v>45350</v>
      </c>
      <c r="Q191" s="2" t="str">
        <f t="shared" si="16"/>
        <v>45350早班本地二区</v>
      </c>
      <c r="R191" s="2">
        <f t="shared" si="23"/>
        <v>8940075</v>
      </c>
      <c r="S191" s="2">
        <f t="shared" si="23"/>
        <v>31692</v>
      </c>
      <c r="T191" s="2" t="str">
        <f t="shared" si="18"/>
        <v>45350本地二区-早班</v>
      </c>
      <c r="U191" s="2">
        <f t="shared" si="19"/>
        <v>3.5449399999999999E-3</v>
      </c>
      <c r="V191" s="2" t="str">
        <f t="shared" si="20"/>
        <v>林好男</v>
      </c>
    </row>
    <row r="192" spans="1:22" ht="16.5" x14ac:dyDescent="0.4">
      <c r="A192" s="4" t="s">
        <v>92</v>
      </c>
      <c r="B192" s="70" t="s">
        <v>104</v>
      </c>
      <c r="C192" s="4" t="s">
        <v>110</v>
      </c>
      <c r="D192" s="4">
        <v>171</v>
      </c>
      <c r="E192" s="4">
        <v>127</v>
      </c>
      <c r="F192" s="5">
        <v>45847</v>
      </c>
      <c r="G192" s="5">
        <v>115970</v>
      </c>
      <c r="H192" s="6">
        <v>-70123</v>
      </c>
      <c r="I192" s="4" t="s">
        <v>101</v>
      </c>
      <c r="J192" s="5">
        <v>3382860</v>
      </c>
      <c r="K192" s="5">
        <v>45847</v>
      </c>
      <c r="L192" s="5">
        <v>8684612</v>
      </c>
      <c r="M192" s="5">
        <v>53242</v>
      </c>
      <c r="N192" s="7" t="s">
        <v>512</v>
      </c>
      <c r="O192" s="7" t="s">
        <v>513</v>
      </c>
      <c r="P192" s="11">
        <v>45350</v>
      </c>
      <c r="Q192" s="2" t="str">
        <f t="shared" si="16"/>
        <v>45350下午班本地一区</v>
      </c>
      <c r="R192" s="2">
        <f t="shared" si="23"/>
        <v>8684612</v>
      </c>
      <c r="S192" s="2">
        <f t="shared" si="23"/>
        <v>53242</v>
      </c>
      <c r="T192" s="2" t="str">
        <f t="shared" si="18"/>
        <v>45350本地一区-下午班</v>
      </c>
      <c r="U192" s="2">
        <f t="shared" si="19"/>
        <v>6.1306099999999999E-3</v>
      </c>
      <c r="V192" s="2" t="str">
        <f t="shared" si="20"/>
        <v>赵勇</v>
      </c>
    </row>
    <row r="193" spans="1:22" ht="16.5" x14ac:dyDescent="0.4">
      <c r="A193" s="4" t="s">
        <v>92</v>
      </c>
      <c r="B193" s="70" t="s">
        <v>105</v>
      </c>
      <c r="C193" s="4" t="s">
        <v>158</v>
      </c>
      <c r="D193" s="4">
        <v>169</v>
      </c>
      <c r="E193" s="4">
        <v>104</v>
      </c>
      <c r="F193" s="5">
        <v>31358</v>
      </c>
      <c r="G193" s="5">
        <v>93717</v>
      </c>
      <c r="H193" s="6">
        <v>-62359</v>
      </c>
      <c r="I193" s="4" t="s">
        <v>101</v>
      </c>
      <c r="J193" s="5">
        <v>2398247</v>
      </c>
      <c r="K193" s="5">
        <v>31358</v>
      </c>
      <c r="L193" s="5">
        <v>4902595</v>
      </c>
      <c r="M193" s="5">
        <v>35360</v>
      </c>
      <c r="N193" s="7" t="s">
        <v>130</v>
      </c>
      <c r="O193" s="7" t="s">
        <v>514</v>
      </c>
      <c r="P193" s="11">
        <v>45350</v>
      </c>
      <c r="Q193" s="2" t="str">
        <f t="shared" si="16"/>
        <v>45350下午班本地二区</v>
      </c>
      <c r="R193" s="2">
        <f t="shared" si="23"/>
        <v>4902595</v>
      </c>
      <c r="S193" s="2">
        <f t="shared" si="23"/>
        <v>35360</v>
      </c>
      <c r="T193" s="2" t="str">
        <f t="shared" si="18"/>
        <v>45350本地二区-下午班</v>
      </c>
      <c r="U193" s="2">
        <f t="shared" si="19"/>
        <v>7.2125100000000001E-3</v>
      </c>
      <c r="V193" s="2" t="str">
        <f t="shared" si="20"/>
        <v>李晓晗</v>
      </c>
    </row>
    <row r="194" spans="1:22" ht="16.5" x14ac:dyDescent="0.4">
      <c r="A194" s="4" t="s">
        <v>93</v>
      </c>
      <c r="B194" s="70" t="s">
        <v>104</v>
      </c>
      <c r="C194" s="4" t="s">
        <v>133</v>
      </c>
      <c r="D194" s="4">
        <v>182</v>
      </c>
      <c r="E194" s="4">
        <v>113</v>
      </c>
      <c r="F194" s="5">
        <v>38787</v>
      </c>
      <c r="G194" s="5">
        <v>115970</v>
      </c>
      <c r="H194" s="6">
        <v>-77183</v>
      </c>
      <c r="I194" s="4" t="s">
        <v>101</v>
      </c>
      <c r="J194" s="5">
        <v>5818200</v>
      </c>
      <c r="K194" s="5">
        <v>38787</v>
      </c>
      <c r="L194" s="5">
        <v>10144297</v>
      </c>
      <c r="M194" s="5">
        <v>43032</v>
      </c>
      <c r="N194" s="7" t="s">
        <v>299</v>
      </c>
      <c r="O194" s="7" t="s">
        <v>515</v>
      </c>
      <c r="P194" s="11">
        <v>45351</v>
      </c>
      <c r="Q194" s="2" t="str">
        <f t="shared" ref="Q194:Q257" si="24">P194&amp;A194&amp;B194</f>
        <v>45351早班本地一区</v>
      </c>
      <c r="R194" s="2">
        <f t="shared" ref="R194:S209" si="25">L194</f>
        <v>10144297</v>
      </c>
      <c r="S194" s="2">
        <f t="shared" si="25"/>
        <v>43032</v>
      </c>
      <c r="T194" s="2" t="str">
        <f t="shared" ref="T194:T257" si="26">P194&amp;B194&amp;"-"&amp;A194</f>
        <v>45351本地一区-早班</v>
      </c>
      <c r="U194" s="2">
        <f t="shared" ref="U194:U257" si="27">O194*1</f>
        <v>4.2419900000000002E-3</v>
      </c>
      <c r="V194" s="2" t="str">
        <f t="shared" ref="V194:V257" si="28">C194</f>
        <v>林好男</v>
      </c>
    </row>
    <row r="195" spans="1:22" ht="16.5" x14ac:dyDescent="0.4">
      <c r="A195" s="4" t="s">
        <v>93</v>
      </c>
      <c r="B195" s="70" t="s">
        <v>105</v>
      </c>
      <c r="C195" s="4" t="s">
        <v>111</v>
      </c>
      <c r="D195" s="4">
        <v>158</v>
      </c>
      <c r="E195" s="4">
        <v>103</v>
      </c>
      <c r="F195" s="5">
        <v>33825</v>
      </c>
      <c r="G195" s="5">
        <v>93717</v>
      </c>
      <c r="H195" s="6">
        <v>-59892</v>
      </c>
      <c r="I195" s="4" t="s">
        <v>101</v>
      </c>
      <c r="J195" s="5">
        <v>7390791</v>
      </c>
      <c r="K195" s="5">
        <v>33825</v>
      </c>
      <c r="L195" s="5">
        <v>10027291</v>
      </c>
      <c r="M195" s="5">
        <v>35332</v>
      </c>
      <c r="N195" s="7" t="s">
        <v>509</v>
      </c>
      <c r="O195" s="7" t="s">
        <v>516</v>
      </c>
      <c r="P195" s="11">
        <v>45351</v>
      </c>
      <c r="Q195" s="2" t="str">
        <f t="shared" si="24"/>
        <v>45351早班本地二区</v>
      </c>
      <c r="R195" s="2">
        <f t="shared" si="25"/>
        <v>10027291</v>
      </c>
      <c r="S195" s="2">
        <f t="shared" si="25"/>
        <v>35332</v>
      </c>
      <c r="T195" s="2" t="str">
        <f t="shared" si="26"/>
        <v>45351本地二区-早班</v>
      </c>
      <c r="U195" s="2">
        <f t="shared" si="27"/>
        <v>3.5235800000000001E-3</v>
      </c>
      <c r="V195" s="2" t="str">
        <f t="shared" si="28"/>
        <v>陈楠</v>
      </c>
    </row>
    <row r="196" spans="1:22" ht="16.5" x14ac:dyDescent="0.4">
      <c r="A196" s="4" t="s">
        <v>92</v>
      </c>
      <c r="B196" s="70" t="s">
        <v>178</v>
      </c>
      <c r="C196" s="4" t="s">
        <v>158</v>
      </c>
      <c r="D196" s="4">
        <v>184</v>
      </c>
      <c r="E196" s="4">
        <v>124</v>
      </c>
      <c r="F196" s="5">
        <v>45134</v>
      </c>
      <c r="G196" s="5">
        <v>209686</v>
      </c>
      <c r="H196" s="6">
        <v>-164552</v>
      </c>
      <c r="I196" s="4" t="s">
        <v>101</v>
      </c>
      <c r="J196" s="5">
        <v>4330247</v>
      </c>
      <c r="K196" s="5">
        <v>45134</v>
      </c>
      <c r="L196" s="5">
        <v>7910848</v>
      </c>
      <c r="M196" s="5">
        <v>49611</v>
      </c>
      <c r="N196" s="7" t="s">
        <v>508</v>
      </c>
      <c r="O196" s="7" t="s">
        <v>517</v>
      </c>
      <c r="P196" s="11">
        <v>45351</v>
      </c>
      <c r="Q196" s="2" t="str">
        <f t="shared" si="24"/>
        <v>45351下午班本地所有</v>
      </c>
      <c r="R196" s="2">
        <f t="shared" si="25"/>
        <v>7910848</v>
      </c>
      <c r="S196" s="2">
        <f t="shared" si="25"/>
        <v>49611</v>
      </c>
      <c r="T196" s="2" t="str">
        <f t="shared" si="26"/>
        <v>45351本地所有-下午班</v>
      </c>
      <c r="U196" s="2">
        <f t="shared" si="27"/>
        <v>6.2712599999999999E-3</v>
      </c>
      <c r="V196" s="2" t="str">
        <f t="shared" si="28"/>
        <v>李晓晗</v>
      </c>
    </row>
    <row r="197" spans="1:22" ht="16.5" x14ac:dyDescent="0.4">
      <c r="A197" s="4" t="s">
        <v>93</v>
      </c>
      <c r="B197" s="70" t="s">
        <v>104</v>
      </c>
      <c r="C197" s="4" t="s">
        <v>110</v>
      </c>
      <c r="D197" s="4">
        <v>172</v>
      </c>
      <c r="E197" s="4">
        <v>113</v>
      </c>
      <c r="F197" s="5">
        <v>38575</v>
      </c>
      <c r="G197" s="5">
        <v>115970</v>
      </c>
      <c r="H197" s="6">
        <v>-77395</v>
      </c>
      <c r="I197" s="4" t="s">
        <v>101</v>
      </c>
      <c r="J197" s="5">
        <v>3788807</v>
      </c>
      <c r="K197" s="5">
        <v>38575</v>
      </c>
      <c r="L197" s="5">
        <v>10581792</v>
      </c>
      <c r="M197" s="5">
        <v>43003</v>
      </c>
      <c r="N197" s="7" t="s">
        <v>113</v>
      </c>
      <c r="O197" s="7" t="s">
        <v>520</v>
      </c>
      <c r="P197" s="11">
        <v>45352</v>
      </c>
      <c r="Q197" s="2" t="str">
        <f t="shared" si="24"/>
        <v>45352早班本地一区</v>
      </c>
      <c r="R197" s="2">
        <f t="shared" si="25"/>
        <v>10581792</v>
      </c>
      <c r="S197" s="2">
        <f t="shared" si="25"/>
        <v>43003</v>
      </c>
      <c r="T197" s="2" t="str">
        <f t="shared" si="26"/>
        <v>45352本地一区-早班</v>
      </c>
      <c r="U197" s="2">
        <f t="shared" si="27"/>
        <v>4.0638699999999998E-3</v>
      </c>
      <c r="V197" s="2" t="str">
        <f t="shared" si="28"/>
        <v>赵勇</v>
      </c>
    </row>
    <row r="198" spans="1:22" ht="16.5" x14ac:dyDescent="0.4">
      <c r="A198" s="4" t="s">
        <v>93</v>
      </c>
      <c r="B198" s="70" t="s">
        <v>105</v>
      </c>
      <c r="C198" s="4" t="s">
        <v>122</v>
      </c>
      <c r="D198" s="4">
        <v>154</v>
      </c>
      <c r="E198" s="4">
        <v>101</v>
      </c>
      <c r="F198" s="5">
        <v>27705</v>
      </c>
      <c r="G198" s="5">
        <v>93717</v>
      </c>
      <c r="H198" s="6">
        <v>-66012</v>
      </c>
      <c r="I198" s="4" t="s">
        <v>101</v>
      </c>
      <c r="J198" s="5">
        <v>4102126</v>
      </c>
      <c r="K198" s="5">
        <v>27705</v>
      </c>
      <c r="L198" s="5">
        <v>9805025</v>
      </c>
      <c r="M198" s="5">
        <v>29923</v>
      </c>
      <c r="N198" s="7" t="s">
        <v>519</v>
      </c>
      <c r="O198" s="7" t="s">
        <v>521</v>
      </c>
      <c r="P198" s="11">
        <v>45352</v>
      </c>
      <c r="Q198" s="2" t="str">
        <f t="shared" si="24"/>
        <v>45352早班本地二区</v>
      </c>
      <c r="R198" s="2">
        <f t="shared" si="25"/>
        <v>9805025</v>
      </c>
      <c r="S198" s="2">
        <f t="shared" si="25"/>
        <v>29923</v>
      </c>
      <c r="T198" s="2" t="str">
        <f t="shared" si="26"/>
        <v>45352本地二区-早班</v>
      </c>
      <c r="U198" s="2">
        <f t="shared" si="27"/>
        <v>3.0517999999999999E-3</v>
      </c>
      <c r="V198" s="2" t="str">
        <f t="shared" si="28"/>
        <v>赵依然</v>
      </c>
    </row>
    <row r="199" spans="1:22" ht="16.5" x14ac:dyDescent="0.4">
      <c r="A199" s="4" t="s">
        <v>92</v>
      </c>
      <c r="B199" s="70" t="s">
        <v>104</v>
      </c>
      <c r="C199" s="4" t="s">
        <v>111</v>
      </c>
      <c r="D199" s="4">
        <v>160</v>
      </c>
      <c r="E199" s="4">
        <v>116</v>
      </c>
      <c r="F199" s="5">
        <v>41147</v>
      </c>
      <c r="G199" s="5">
        <v>115970</v>
      </c>
      <c r="H199" s="6">
        <v>-74823</v>
      </c>
      <c r="I199" s="4" t="s">
        <v>101</v>
      </c>
      <c r="J199" s="5">
        <v>3048780</v>
      </c>
      <c r="K199" s="5">
        <v>41147</v>
      </c>
      <c r="L199" s="5">
        <v>6633284</v>
      </c>
      <c r="M199" s="5">
        <v>45816</v>
      </c>
      <c r="N199" s="7" t="s">
        <v>518</v>
      </c>
      <c r="O199" s="7" t="s">
        <v>522</v>
      </c>
      <c r="P199" s="11">
        <v>45352</v>
      </c>
      <c r="Q199" s="2" t="str">
        <f t="shared" si="24"/>
        <v>45352下午班本地一区</v>
      </c>
      <c r="R199" s="2">
        <f t="shared" si="25"/>
        <v>6633284</v>
      </c>
      <c r="S199" s="2">
        <f t="shared" si="25"/>
        <v>45816</v>
      </c>
      <c r="T199" s="2" t="str">
        <f t="shared" si="26"/>
        <v>45352本地一区-下午班</v>
      </c>
      <c r="U199" s="2">
        <f t="shared" si="27"/>
        <v>6.90699E-3</v>
      </c>
      <c r="V199" s="2" t="str">
        <f t="shared" si="28"/>
        <v>陈楠</v>
      </c>
    </row>
    <row r="200" spans="1:22" ht="16.5" x14ac:dyDescent="0.4">
      <c r="A200" s="4" t="s">
        <v>92</v>
      </c>
      <c r="B200" s="70" t="s">
        <v>105</v>
      </c>
      <c r="C200" s="4" t="s">
        <v>158</v>
      </c>
      <c r="D200" s="4">
        <v>147</v>
      </c>
      <c r="E200" s="4">
        <v>104</v>
      </c>
      <c r="F200" s="5">
        <v>30207</v>
      </c>
      <c r="G200" s="5">
        <v>93717</v>
      </c>
      <c r="H200" s="6">
        <v>-63510</v>
      </c>
      <c r="I200" s="4" t="s">
        <v>101</v>
      </c>
      <c r="J200" s="5">
        <v>2590386</v>
      </c>
      <c r="K200" s="5">
        <v>30207</v>
      </c>
      <c r="L200" s="5">
        <v>5011799</v>
      </c>
      <c r="M200" s="5">
        <v>33526</v>
      </c>
      <c r="N200" s="7" t="s">
        <v>170</v>
      </c>
      <c r="O200" s="7" t="s">
        <v>523</v>
      </c>
      <c r="P200" s="11">
        <v>45352</v>
      </c>
      <c r="Q200" s="2" t="str">
        <f t="shared" si="24"/>
        <v>45352下午班本地二区</v>
      </c>
      <c r="R200" s="2">
        <f t="shared" si="25"/>
        <v>5011799</v>
      </c>
      <c r="S200" s="2">
        <f t="shared" si="25"/>
        <v>33526</v>
      </c>
      <c r="T200" s="2" t="str">
        <f t="shared" si="26"/>
        <v>45352本地二区-下午班</v>
      </c>
      <c r="U200" s="2">
        <f t="shared" si="27"/>
        <v>6.6894099999999998E-3</v>
      </c>
      <c r="V200" s="2" t="str">
        <f t="shared" si="28"/>
        <v>李晓晗</v>
      </c>
    </row>
    <row r="201" spans="1:22" ht="16.5" x14ac:dyDescent="0.4">
      <c r="A201" s="4" t="s">
        <v>93</v>
      </c>
      <c r="B201" s="70" t="s">
        <v>178</v>
      </c>
      <c r="C201" s="4" t="s">
        <v>122</v>
      </c>
      <c r="D201" s="4">
        <v>165</v>
      </c>
      <c r="E201" s="4">
        <v>107</v>
      </c>
      <c r="F201" s="5">
        <v>32319</v>
      </c>
      <c r="G201" s="5">
        <v>209686</v>
      </c>
      <c r="H201" s="6">
        <v>-177367</v>
      </c>
      <c r="I201" s="4" t="s">
        <v>101</v>
      </c>
      <c r="J201" s="5">
        <v>6926335</v>
      </c>
      <c r="K201" s="5">
        <v>32319</v>
      </c>
      <c r="L201" s="5">
        <v>12431135</v>
      </c>
      <c r="M201" s="5">
        <v>34062</v>
      </c>
      <c r="N201" s="7" t="s">
        <v>370</v>
      </c>
      <c r="O201" s="7" t="s">
        <v>524</v>
      </c>
      <c r="P201" s="11">
        <v>45353</v>
      </c>
      <c r="Q201" s="2" t="str">
        <f t="shared" si="24"/>
        <v>45353早班本地所有</v>
      </c>
      <c r="R201" s="2">
        <f t="shared" si="25"/>
        <v>12431135</v>
      </c>
      <c r="S201" s="2">
        <f t="shared" si="25"/>
        <v>34062</v>
      </c>
      <c r="T201" s="2" t="str">
        <f t="shared" si="26"/>
        <v>45353本地所有-早班</v>
      </c>
      <c r="U201" s="2">
        <f t="shared" si="27"/>
        <v>2.7400599999999999E-3</v>
      </c>
      <c r="V201" s="2" t="str">
        <f t="shared" si="28"/>
        <v>赵依然</v>
      </c>
    </row>
    <row r="202" spans="1:22" ht="16.5" x14ac:dyDescent="0.4">
      <c r="A202" s="4" t="s">
        <v>92</v>
      </c>
      <c r="B202" s="70" t="s">
        <v>104</v>
      </c>
      <c r="C202" s="4" t="s">
        <v>158</v>
      </c>
      <c r="D202" s="4">
        <v>155</v>
      </c>
      <c r="E202" s="4">
        <v>110</v>
      </c>
      <c r="F202" s="5">
        <v>38304</v>
      </c>
      <c r="G202" s="5">
        <v>115970</v>
      </c>
      <c r="H202" s="6">
        <v>-77666</v>
      </c>
      <c r="I202" s="4" t="s">
        <v>101</v>
      </c>
      <c r="J202" s="5">
        <v>3101219</v>
      </c>
      <c r="K202" s="5">
        <v>38304</v>
      </c>
      <c r="L202" s="5">
        <v>6213314</v>
      </c>
      <c r="M202" s="5">
        <v>42414</v>
      </c>
      <c r="N202" s="7" t="s">
        <v>117</v>
      </c>
      <c r="O202" s="7" t="s">
        <v>525</v>
      </c>
      <c r="P202" s="11">
        <v>45353</v>
      </c>
      <c r="Q202" s="2" t="str">
        <f t="shared" si="24"/>
        <v>45353下午班本地一区</v>
      </c>
      <c r="R202" s="2">
        <f t="shared" si="25"/>
        <v>6213314</v>
      </c>
      <c r="S202" s="2">
        <f t="shared" si="25"/>
        <v>42414</v>
      </c>
      <c r="T202" s="2" t="str">
        <f t="shared" si="26"/>
        <v>45353本地一区-下午班</v>
      </c>
      <c r="U202" s="2">
        <f t="shared" si="27"/>
        <v>6.8263100000000004E-3</v>
      </c>
      <c r="V202" s="2" t="str">
        <f t="shared" si="28"/>
        <v>李晓晗</v>
      </c>
    </row>
    <row r="203" spans="1:22" ht="16.5" x14ac:dyDescent="0.4">
      <c r="A203" s="4" t="s">
        <v>92</v>
      </c>
      <c r="B203" s="70" t="s">
        <v>105</v>
      </c>
      <c r="C203" s="4" t="s">
        <v>111</v>
      </c>
      <c r="D203" s="4">
        <v>152</v>
      </c>
      <c r="E203" s="4">
        <v>111</v>
      </c>
      <c r="F203" s="5">
        <v>41461</v>
      </c>
      <c r="G203" s="5">
        <v>93717</v>
      </c>
      <c r="H203" s="6">
        <v>-52256</v>
      </c>
      <c r="I203" s="4" t="s">
        <v>101</v>
      </c>
      <c r="J203" s="5">
        <v>7404761</v>
      </c>
      <c r="K203" s="5">
        <v>41461</v>
      </c>
      <c r="L203" s="5">
        <v>9770240</v>
      </c>
      <c r="M203" s="5">
        <v>43424</v>
      </c>
      <c r="N203" s="7" t="s">
        <v>400</v>
      </c>
      <c r="O203" s="7" t="s">
        <v>526</v>
      </c>
      <c r="P203" s="11">
        <v>45353</v>
      </c>
      <c r="Q203" s="2" t="str">
        <f t="shared" si="24"/>
        <v>45353下午班本地二区</v>
      </c>
      <c r="R203" s="2">
        <f t="shared" si="25"/>
        <v>9770240</v>
      </c>
      <c r="S203" s="2">
        <f t="shared" si="25"/>
        <v>43424</v>
      </c>
      <c r="T203" s="2" t="str">
        <f t="shared" si="26"/>
        <v>45353本地二区-下午班</v>
      </c>
      <c r="U203" s="2">
        <f t="shared" si="27"/>
        <v>4.4445200000000004E-3</v>
      </c>
      <c r="V203" s="2" t="str">
        <f t="shared" si="28"/>
        <v>陈楠</v>
      </c>
    </row>
    <row r="204" spans="1:22" ht="16.5" x14ac:dyDescent="0.4">
      <c r="A204" s="4" t="s">
        <v>93</v>
      </c>
      <c r="B204" s="70" t="s">
        <v>178</v>
      </c>
      <c r="C204" s="4" t="s">
        <v>122</v>
      </c>
      <c r="D204" s="4">
        <v>171</v>
      </c>
      <c r="E204" s="4">
        <v>106</v>
      </c>
      <c r="F204" s="5">
        <v>40709</v>
      </c>
      <c r="G204" s="5">
        <v>209686</v>
      </c>
      <c r="H204" s="6">
        <v>-168977</v>
      </c>
      <c r="I204" s="4" t="s">
        <v>101</v>
      </c>
      <c r="J204" s="5">
        <v>8250641</v>
      </c>
      <c r="K204" s="5">
        <v>40709</v>
      </c>
      <c r="L204" s="5">
        <v>12549033</v>
      </c>
      <c r="M204" s="5">
        <v>42143</v>
      </c>
      <c r="N204" s="7" t="s">
        <v>527</v>
      </c>
      <c r="O204" s="7" t="s">
        <v>528</v>
      </c>
      <c r="P204" s="11">
        <v>45354</v>
      </c>
      <c r="Q204" s="2" t="str">
        <f t="shared" si="24"/>
        <v>45354早班本地所有</v>
      </c>
      <c r="R204" s="2">
        <f t="shared" si="25"/>
        <v>12549033</v>
      </c>
      <c r="S204" s="2">
        <f t="shared" si="25"/>
        <v>42143</v>
      </c>
      <c r="T204" s="2" t="str">
        <f t="shared" si="26"/>
        <v>45354本地所有-早班</v>
      </c>
      <c r="U204" s="2">
        <f t="shared" si="27"/>
        <v>3.35827E-3</v>
      </c>
      <c r="V204" s="2" t="str">
        <f t="shared" si="28"/>
        <v>赵依然</v>
      </c>
    </row>
    <row r="205" spans="1:22" ht="16.5" x14ac:dyDescent="0.4">
      <c r="A205" s="4" t="s">
        <v>92</v>
      </c>
      <c r="B205" s="70" t="s">
        <v>178</v>
      </c>
      <c r="C205" s="4" t="s">
        <v>133</v>
      </c>
      <c r="D205" s="4">
        <v>208</v>
      </c>
      <c r="E205" s="4">
        <v>153</v>
      </c>
      <c r="F205" s="5">
        <v>55686</v>
      </c>
      <c r="G205" s="5">
        <v>209686</v>
      </c>
      <c r="H205" s="6">
        <v>-154000</v>
      </c>
      <c r="I205" s="4" t="s">
        <v>101</v>
      </c>
      <c r="J205" s="5">
        <v>7694172</v>
      </c>
      <c r="K205" s="5">
        <v>55686</v>
      </c>
      <c r="L205" s="5">
        <v>15318746</v>
      </c>
      <c r="M205" s="5">
        <v>63352</v>
      </c>
      <c r="N205" s="7" t="s">
        <v>448</v>
      </c>
      <c r="O205" s="7" t="s">
        <v>529</v>
      </c>
      <c r="P205" s="11">
        <v>45354</v>
      </c>
      <c r="Q205" s="2" t="str">
        <f t="shared" si="24"/>
        <v>45354下午班本地所有</v>
      </c>
      <c r="R205" s="2">
        <f t="shared" si="25"/>
        <v>15318746</v>
      </c>
      <c r="S205" s="2">
        <f t="shared" si="25"/>
        <v>63352</v>
      </c>
      <c r="T205" s="2" t="str">
        <f t="shared" si="26"/>
        <v>45354本地所有-下午班</v>
      </c>
      <c r="U205" s="2">
        <f t="shared" si="27"/>
        <v>4.1355899999999998E-3</v>
      </c>
      <c r="V205" s="2" t="str">
        <f t="shared" si="28"/>
        <v>林好男</v>
      </c>
    </row>
    <row r="206" spans="1:22" ht="16.5" x14ac:dyDescent="0.4">
      <c r="A206" s="4" t="s">
        <v>93</v>
      </c>
      <c r="B206" s="70" t="s">
        <v>104</v>
      </c>
      <c r="C206" s="4" t="s">
        <v>111</v>
      </c>
      <c r="D206" s="4">
        <v>154</v>
      </c>
      <c r="E206" s="4">
        <v>100</v>
      </c>
      <c r="F206" s="5">
        <v>32004</v>
      </c>
      <c r="G206" s="5">
        <v>115970</v>
      </c>
      <c r="H206" s="6">
        <v>-83966</v>
      </c>
      <c r="I206" s="4" t="s">
        <v>101</v>
      </c>
      <c r="J206" s="5">
        <v>4420580</v>
      </c>
      <c r="K206" s="5">
        <v>32004</v>
      </c>
      <c r="L206" s="5">
        <v>7854662</v>
      </c>
      <c r="M206" s="5">
        <v>34435</v>
      </c>
      <c r="N206" s="7" t="s">
        <v>448</v>
      </c>
      <c r="O206" s="7" t="s">
        <v>542</v>
      </c>
      <c r="P206" s="11">
        <v>45355</v>
      </c>
      <c r="Q206" s="2" t="str">
        <f t="shared" si="24"/>
        <v>45355早班本地一区</v>
      </c>
      <c r="R206" s="2">
        <f t="shared" si="25"/>
        <v>7854662</v>
      </c>
      <c r="S206" s="2">
        <f t="shared" si="25"/>
        <v>34435</v>
      </c>
      <c r="T206" s="2" t="str">
        <f t="shared" si="26"/>
        <v>45355本地一区-早班</v>
      </c>
      <c r="U206" s="2">
        <f t="shared" si="27"/>
        <v>4.3840199999999998E-3</v>
      </c>
      <c r="V206" s="2" t="str">
        <f t="shared" si="28"/>
        <v>陈楠</v>
      </c>
    </row>
    <row r="207" spans="1:22" ht="16.5" x14ac:dyDescent="0.4">
      <c r="A207" s="4" t="s">
        <v>93</v>
      </c>
      <c r="B207" s="70" t="s">
        <v>105</v>
      </c>
      <c r="C207" s="4" t="s">
        <v>122</v>
      </c>
      <c r="D207" s="4">
        <v>149</v>
      </c>
      <c r="E207" s="4">
        <v>102</v>
      </c>
      <c r="F207" s="5">
        <v>24232</v>
      </c>
      <c r="G207" s="5">
        <v>93717</v>
      </c>
      <c r="H207" s="6">
        <v>-69485</v>
      </c>
      <c r="I207" s="4" t="s">
        <v>101</v>
      </c>
      <c r="J207" s="5">
        <v>3887928</v>
      </c>
      <c r="K207" s="5">
        <v>24232</v>
      </c>
      <c r="L207" s="5">
        <v>6664314</v>
      </c>
      <c r="M207" s="5">
        <v>25894</v>
      </c>
      <c r="N207" s="7" t="s">
        <v>411</v>
      </c>
      <c r="O207" s="7" t="s">
        <v>543</v>
      </c>
      <c r="P207" s="11">
        <v>45355</v>
      </c>
      <c r="Q207" s="2" t="str">
        <f t="shared" si="24"/>
        <v>45355早班本地二区</v>
      </c>
      <c r="R207" s="2">
        <f t="shared" si="25"/>
        <v>6664314</v>
      </c>
      <c r="S207" s="2">
        <f t="shared" si="25"/>
        <v>25894</v>
      </c>
      <c r="T207" s="2" t="str">
        <f t="shared" si="26"/>
        <v>45355本地二区-早班</v>
      </c>
      <c r="U207" s="2">
        <f t="shared" si="27"/>
        <v>3.8854699999999998E-3</v>
      </c>
      <c r="V207" s="2" t="str">
        <f t="shared" si="28"/>
        <v>赵依然</v>
      </c>
    </row>
    <row r="208" spans="1:22" ht="16.5" x14ac:dyDescent="0.4">
      <c r="A208" s="4" t="s">
        <v>92</v>
      </c>
      <c r="B208" s="70" t="s">
        <v>178</v>
      </c>
      <c r="C208" s="4" t="s">
        <v>133</v>
      </c>
      <c r="D208" s="4">
        <v>225</v>
      </c>
      <c r="E208" s="4">
        <v>152</v>
      </c>
      <c r="F208" s="5">
        <v>60757</v>
      </c>
      <c r="G208" s="5">
        <v>209686</v>
      </c>
      <c r="H208" s="6">
        <v>-148929</v>
      </c>
      <c r="I208" s="4" t="s">
        <v>101</v>
      </c>
      <c r="J208" s="5">
        <v>8381362</v>
      </c>
      <c r="K208" s="5">
        <v>60757</v>
      </c>
      <c r="L208" s="5">
        <v>16252670</v>
      </c>
      <c r="M208" s="5">
        <v>68438</v>
      </c>
      <c r="N208" s="7" t="s">
        <v>448</v>
      </c>
      <c r="O208" s="7" t="s">
        <v>544</v>
      </c>
      <c r="P208" s="11">
        <v>45355</v>
      </c>
      <c r="Q208" s="2" t="str">
        <f t="shared" si="24"/>
        <v>45355下午班本地所有</v>
      </c>
      <c r="R208" s="2">
        <f t="shared" si="25"/>
        <v>16252670</v>
      </c>
      <c r="S208" s="2">
        <f t="shared" si="25"/>
        <v>68438</v>
      </c>
      <c r="T208" s="2" t="str">
        <f t="shared" si="26"/>
        <v>45355本地所有-下午班</v>
      </c>
      <c r="U208" s="2">
        <f t="shared" si="27"/>
        <v>4.2108800000000002E-3</v>
      </c>
      <c r="V208" s="2" t="str">
        <f t="shared" si="28"/>
        <v>林好男</v>
      </c>
    </row>
    <row r="209" spans="1:22" ht="16.5" x14ac:dyDescent="0.4">
      <c r="A209" s="4" t="s">
        <v>93</v>
      </c>
      <c r="B209" s="70" t="s">
        <v>178</v>
      </c>
      <c r="C209" s="4" t="s">
        <v>111</v>
      </c>
      <c r="D209" s="4">
        <v>177</v>
      </c>
      <c r="E209" s="4">
        <v>136</v>
      </c>
      <c r="F209" s="5">
        <v>49118</v>
      </c>
      <c r="G209" s="5">
        <v>209686</v>
      </c>
      <c r="H209" s="6">
        <v>-160568</v>
      </c>
      <c r="I209" s="4" t="s">
        <v>101</v>
      </c>
      <c r="J209" s="5">
        <v>7619645</v>
      </c>
      <c r="K209" s="5">
        <v>49118</v>
      </c>
      <c r="L209" s="5">
        <v>12413860</v>
      </c>
      <c r="M209" s="5">
        <v>51273</v>
      </c>
      <c r="N209" s="7" t="s">
        <v>419</v>
      </c>
      <c r="O209" s="7" t="s">
        <v>545</v>
      </c>
      <c r="P209" s="11">
        <v>45356</v>
      </c>
      <c r="Q209" s="2" t="str">
        <f t="shared" si="24"/>
        <v>45356早班本地所有</v>
      </c>
      <c r="R209" s="2">
        <f t="shared" si="25"/>
        <v>12413860</v>
      </c>
      <c r="S209" s="2">
        <f t="shared" si="25"/>
        <v>51273</v>
      </c>
      <c r="T209" s="2" t="str">
        <f t="shared" si="26"/>
        <v>45356本地所有-早班</v>
      </c>
      <c r="U209" s="2">
        <f t="shared" si="27"/>
        <v>4.1302999999999999E-3</v>
      </c>
      <c r="V209" s="2" t="str">
        <f t="shared" si="28"/>
        <v>陈楠</v>
      </c>
    </row>
    <row r="210" spans="1:22" ht="16.5" x14ac:dyDescent="0.4">
      <c r="A210" s="4" t="s">
        <v>92</v>
      </c>
      <c r="B210" s="70" t="s">
        <v>178</v>
      </c>
      <c r="C210" s="4" t="s">
        <v>133</v>
      </c>
      <c r="D210" s="4">
        <v>218</v>
      </c>
      <c r="E210" s="4">
        <v>144</v>
      </c>
      <c r="F210" s="5">
        <v>60321</v>
      </c>
      <c r="G210" s="5">
        <v>209686</v>
      </c>
      <c r="H210" s="6">
        <v>-149365</v>
      </c>
      <c r="I210" s="4" t="s">
        <v>101</v>
      </c>
      <c r="J210" s="5">
        <v>7755728</v>
      </c>
      <c r="K210" s="5">
        <v>60321</v>
      </c>
      <c r="L210" s="5">
        <v>15007944</v>
      </c>
      <c r="M210" s="5">
        <v>63700</v>
      </c>
      <c r="N210" s="7" t="s">
        <v>410</v>
      </c>
      <c r="O210" s="7" t="s">
        <v>546</v>
      </c>
      <c r="P210" s="11">
        <v>45356</v>
      </c>
      <c r="Q210" s="2" t="str">
        <f t="shared" si="24"/>
        <v>45356下午班本地所有</v>
      </c>
      <c r="R210" s="2">
        <f t="shared" ref="R210:S225" si="29">L210</f>
        <v>15007944</v>
      </c>
      <c r="S210" s="2">
        <f t="shared" si="29"/>
        <v>63700</v>
      </c>
      <c r="T210" s="2" t="str">
        <f t="shared" si="26"/>
        <v>45356本地所有-下午班</v>
      </c>
      <c r="U210" s="2">
        <f t="shared" si="27"/>
        <v>4.2444199999999996E-3</v>
      </c>
      <c r="V210" s="2" t="str">
        <f t="shared" si="28"/>
        <v>林好男</v>
      </c>
    </row>
    <row r="211" spans="1:22" ht="16.5" x14ac:dyDescent="0.4">
      <c r="A211" s="4" t="s">
        <v>93</v>
      </c>
      <c r="B211" s="70" t="s">
        <v>104</v>
      </c>
      <c r="C211" s="4" t="s">
        <v>122</v>
      </c>
      <c r="D211" s="4">
        <v>150</v>
      </c>
      <c r="E211" s="4">
        <v>111</v>
      </c>
      <c r="F211" s="5">
        <v>31844</v>
      </c>
      <c r="G211" s="5">
        <v>115970</v>
      </c>
      <c r="H211" s="6">
        <v>-84126</v>
      </c>
      <c r="I211" s="4" t="s">
        <v>101</v>
      </c>
      <c r="J211" s="5">
        <v>4271526</v>
      </c>
      <c r="K211" s="5">
        <v>31844</v>
      </c>
      <c r="L211" s="5">
        <v>10671003</v>
      </c>
      <c r="M211" s="5">
        <v>49896</v>
      </c>
      <c r="N211" s="7" t="s">
        <v>277</v>
      </c>
      <c r="O211" s="7" t="s">
        <v>547</v>
      </c>
      <c r="P211" s="11">
        <v>45357</v>
      </c>
      <c r="Q211" s="2" t="str">
        <f t="shared" si="24"/>
        <v>45357早班本地一区</v>
      </c>
      <c r="R211" s="2">
        <f t="shared" si="29"/>
        <v>10671003</v>
      </c>
      <c r="S211" s="2">
        <f t="shared" si="29"/>
        <v>49896</v>
      </c>
      <c r="T211" s="2" t="str">
        <f t="shared" si="26"/>
        <v>45357本地一区-早班</v>
      </c>
      <c r="U211" s="2">
        <f t="shared" si="27"/>
        <v>4.6758499999999996E-3</v>
      </c>
      <c r="V211" s="2" t="str">
        <f t="shared" si="28"/>
        <v>赵依然</v>
      </c>
    </row>
    <row r="212" spans="1:22" ht="16.5" x14ac:dyDescent="0.4">
      <c r="A212" s="4" t="s">
        <v>93</v>
      </c>
      <c r="B212" s="70" t="s">
        <v>105</v>
      </c>
      <c r="C212" s="4" t="s">
        <v>111</v>
      </c>
      <c r="D212" s="4">
        <v>154</v>
      </c>
      <c r="E212" s="4">
        <v>101</v>
      </c>
      <c r="F212" s="5">
        <v>26130</v>
      </c>
      <c r="G212" s="5">
        <v>93717</v>
      </c>
      <c r="H212" s="6">
        <v>-67587</v>
      </c>
      <c r="I212" s="4" t="s">
        <v>101</v>
      </c>
      <c r="J212" s="5">
        <v>4129745</v>
      </c>
      <c r="K212" s="5">
        <v>26130</v>
      </c>
      <c r="L212" s="5">
        <v>7750153</v>
      </c>
      <c r="M212" s="5">
        <v>33226</v>
      </c>
      <c r="N212" s="7" t="s">
        <v>389</v>
      </c>
      <c r="O212" s="7" t="s">
        <v>548</v>
      </c>
      <c r="P212" s="11">
        <v>45357</v>
      </c>
      <c r="Q212" s="2" t="str">
        <f t="shared" si="24"/>
        <v>45357早班本地二区</v>
      </c>
      <c r="R212" s="2">
        <f t="shared" si="29"/>
        <v>7750153</v>
      </c>
      <c r="S212" s="2">
        <f t="shared" si="29"/>
        <v>33226</v>
      </c>
      <c r="T212" s="2" t="str">
        <f t="shared" si="26"/>
        <v>45357本地二区-早班</v>
      </c>
      <c r="U212" s="2">
        <f t="shared" si="27"/>
        <v>4.28714E-3</v>
      </c>
      <c r="V212" s="2" t="str">
        <f t="shared" si="28"/>
        <v>陈楠</v>
      </c>
    </row>
    <row r="213" spans="1:22" ht="16.5" x14ac:dyDescent="0.4">
      <c r="A213" s="4" t="s">
        <v>92</v>
      </c>
      <c r="B213" s="70" t="s">
        <v>178</v>
      </c>
      <c r="C213" s="4" t="s">
        <v>133</v>
      </c>
      <c r="D213" s="4">
        <v>223</v>
      </c>
      <c r="E213" s="4">
        <v>172</v>
      </c>
      <c r="F213" s="5">
        <v>63752</v>
      </c>
      <c r="G213" s="5">
        <v>209686</v>
      </c>
      <c r="H213" s="6">
        <v>-145934</v>
      </c>
      <c r="I213" s="4" t="s">
        <v>101</v>
      </c>
      <c r="J213" s="5">
        <v>8136185</v>
      </c>
      <c r="K213" s="5">
        <v>63752</v>
      </c>
      <c r="L213" s="5">
        <v>16432581</v>
      </c>
      <c r="M213" s="5">
        <v>70977</v>
      </c>
      <c r="N213" s="7" t="s">
        <v>410</v>
      </c>
      <c r="O213" s="7" t="s">
        <v>193</v>
      </c>
      <c r="P213" s="11">
        <v>45357</v>
      </c>
      <c r="Q213" s="2" t="str">
        <f t="shared" si="24"/>
        <v>45357下午班本地所有</v>
      </c>
      <c r="R213" s="2">
        <f t="shared" si="29"/>
        <v>16432581</v>
      </c>
      <c r="S213" s="2">
        <f t="shared" si="29"/>
        <v>70977</v>
      </c>
      <c r="T213" s="2" t="str">
        <f t="shared" si="26"/>
        <v>45357本地所有-下午班</v>
      </c>
      <c r="U213" s="2">
        <f t="shared" si="27"/>
        <v>4.31928E-3</v>
      </c>
      <c r="V213" s="2" t="str">
        <f t="shared" si="28"/>
        <v>林好男</v>
      </c>
    </row>
    <row r="214" spans="1:22" ht="16.5" x14ac:dyDescent="0.4">
      <c r="A214" s="4" t="s">
        <v>93</v>
      </c>
      <c r="B214" s="70" t="s">
        <v>178</v>
      </c>
      <c r="C214" s="4" t="s">
        <v>122</v>
      </c>
      <c r="D214" s="4">
        <v>160</v>
      </c>
      <c r="E214" s="4">
        <v>115</v>
      </c>
      <c r="F214" s="5">
        <v>38826</v>
      </c>
      <c r="G214" s="5">
        <v>209686</v>
      </c>
      <c r="H214" s="6">
        <v>-170860</v>
      </c>
      <c r="I214" s="4" t="s">
        <v>101</v>
      </c>
      <c r="J214" s="5">
        <v>8002876</v>
      </c>
      <c r="K214" s="5">
        <v>38826</v>
      </c>
      <c r="L214" s="5">
        <v>12202165</v>
      </c>
      <c r="M214" s="5">
        <v>40160</v>
      </c>
      <c r="N214" s="7" t="s">
        <v>527</v>
      </c>
      <c r="O214" s="7" t="s">
        <v>549</v>
      </c>
      <c r="P214" s="11">
        <v>45358</v>
      </c>
      <c r="Q214" s="2" t="str">
        <f t="shared" si="24"/>
        <v>45358早班本地所有</v>
      </c>
      <c r="R214" s="2">
        <f t="shared" si="29"/>
        <v>12202165</v>
      </c>
      <c r="S214" s="2">
        <f t="shared" si="29"/>
        <v>40160</v>
      </c>
      <c r="T214" s="2" t="str">
        <f t="shared" si="26"/>
        <v>45358本地所有-早班</v>
      </c>
      <c r="U214" s="2">
        <f t="shared" si="27"/>
        <v>3.2912200000000001E-3</v>
      </c>
      <c r="V214" s="2" t="str">
        <f t="shared" si="28"/>
        <v>赵依然</v>
      </c>
    </row>
    <row r="215" spans="1:22" ht="16.5" x14ac:dyDescent="0.4">
      <c r="A215" s="4" t="s">
        <v>92</v>
      </c>
      <c r="B215" s="70" t="s">
        <v>178</v>
      </c>
      <c r="C215" s="4" t="s">
        <v>111</v>
      </c>
      <c r="D215" s="4">
        <v>156</v>
      </c>
      <c r="E215" s="4">
        <v>129</v>
      </c>
      <c r="F215" s="5">
        <v>45539</v>
      </c>
      <c r="G215" s="5">
        <v>209686</v>
      </c>
      <c r="H215" s="6">
        <v>-164147</v>
      </c>
      <c r="I215" s="4" t="s">
        <v>101</v>
      </c>
      <c r="J215" s="5">
        <v>8098585</v>
      </c>
      <c r="K215" s="5">
        <v>45539</v>
      </c>
      <c r="L215" s="5">
        <v>13757639</v>
      </c>
      <c r="M215" s="5">
        <v>49051</v>
      </c>
      <c r="N215" s="7" t="s">
        <v>400</v>
      </c>
      <c r="O215" s="7" t="s">
        <v>550</v>
      </c>
      <c r="P215" s="11">
        <v>45358</v>
      </c>
      <c r="Q215" s="2" t="str">
        <f t="shared" si="24"/>
        <v>45358下午班本地所有</v>
      </c>
      <c r="R215" s="2">
        <f t="shared" si="29"/>
        <v>13757639</v>
      </c>
      <c r="S215" s="2">
        <f t="shared" si="29"/>
        <v>49051</v>
      </c>
      <c r="T215" s="2" t="str">
        <f t="shared" si="26"/>
        <v>45358本地所有-下午班</v>
      </c>
      <c r="U215" s="2">
        <f t="shared" si="27"/>
        <v>3.5653600000000001E-3</v>
      </c>
      <c r="V215" s="2" t="str">
        <f t="shared" si="28"/>
        <v>陈楠</v>
      </c>
    </row>
    <row r="216" spans="1:22" ht="16.5" x14ac:dyDescent="0.4">
      <c r="A216" s="4" t="s">
        <v>93</v>
      </c>
      <c r="B216" s="70" t="s">
        <v>178</v>
      </c>
      <c r="C216" s="4" t="s">
        <v>122</v>
      </c>
      <c r="D216" s="4">
        <v>152</v>
      </c>
      <c r="E216" s="4">
        <v>113</v>
      </c>
      <c r="F216" s="5">
        <v>40222</v>
      </c>
      <c r="G216" s="5">
        <v>209686</v>
      </c>
      <c r="H216" s="6">
        <v>-169464</v>
      </c>
      <c r="I216" s="4" t="s">
        <v>101</v>
      </c>
      <c r="J216" s="5">
        <v>6786205</v>
      </c>
      <c r="K216" s="5">
        <v>40222</v>
      </c>
      <c r="L216" s="5">
        <v>11211498</v>
      </c>
      <c r="M216" s="5">
        <v>43174</v>
      </c>
      <c r="N216" s="7" t="s">
        <v>165</v>
      </c>
      <c r="O216" s="7" t="s">
        <v>551</v>
      </c>
      <c r="P216" s="11">
        <v>45359</v>
      </c>
      <c r="Q216" s="2" t="str">
        <f t="shared" si="24"/>
        <v>45359早班本地所有</v>
      </c>
      <c r="R216" s="2">
        <f t="shared" si="29"/>
        <v>11211498</v>
      </c>
      <c r="S216" s="2">
        <f t="shared" si="29"/>
        <v>43174</v>
      </c>
      <c r="T216" s="2" t="str">
        <f t="shared" si="26"/>
        <v>45359本地所有-早班</v>
      </c>
      <c r="U216" s="2">
        <f t="shared" si="27"/>
        <v>3.8508700000000002E-3</v>
      </c>
      <c r="V216" s="2" t="str">
        <f t="shared" si="28"/>
        <v>赵依然</v>
      </c>
    </row>
    <row r="217" spans="1:22" ht="16.5" x14ac:dyDescent="0.4">
      <c r="A217" s="4" t="s">
        <v>92</v>
      </c>
      <c r="B217" s="70" t="s">
        <v>104</v>
      </c>
      <c r="C217" s="4" t="s">
        <v>111</v>
      </c>
      <c r="D217" s="4">
        <v>152</v>
      </c>
      <c r="E217" s="4">
        <v>108</v>
      </c>
      <c r="F217" s="5">
        <v>46434</v>
      </c>
      <c r="G217" s="5">
        <v>115970</v>
      </c>
      <c r="H217" s="6">
        <v>-69536</v>
      </c>
      <c r="I217" s="4" t="s">
        <v>101</v>
      </c>
      <c r="J217" s="5">
        <v>7921263</v>
      </c>
      <c r="K217" s="5">
        <v>46434</v>
      </c>
      <c r="L217" s="5">
        <v>12858205</v>
      </c>
      <c r="M217" s="5">
        <v>49717</v>
      </c>
      <c r="N217" s="7" t="s">
        <v>165</v>
      </c>
      <c r="O217" s="7" t="s">
        <v>552</v>
      </c>
      <c r="P217" s="11">
        <v>45359</v>
      </c>
      <c r="Q217" s="2" t="str">
        <f t="shared" si="24"/>
        <v>45359下午班本地一区</v>
      </c>
      <c r="R217" s="2">
        <f t="shared" si="29"/>
        <v>12858205</v>
      </c>
      <c r="S217" s="2">
        <f t="shared" si="29"/>
        <v>49717</v>
      </c>
      <c r="T217" s="2" t="str">
        <f t="shared" si="26"/>
        <v>45359本地一区-下午班</v>
      </c>
      <c r="U217" s="2">
        <f t="shared" si="27"/>
        <v>3.8665599999999998E-3</v>
      </c>
      <c r="V217" s="2" t="str">
        <f t="shared" si="28"/>
        <v>陈楠</v>
      </c>
    </row>
    <row r="218" spans="1:22" ht="16.5" x14ac:dyDescent="0.4">
      <c r="A218" s="4" t="s">
        <v>92</v>
      </c>
      <c r="B218" s="70" t="s">
        <v>105</v>
      </c>
      <c r="C218" s="4" t="s">
        <v>133</v>
      </c>
      <c r="D218" s="4">
        <v>118</v>
      </c>
      <c r="E218" s="4">
        <v>81</v>
      </c>
      <c r="F218" s="5">
        <v>23846</v>
      </c>
      <c r="G218" s="5">
        <v>93717</v>
      </c>
      <c r="H218" s="6">
        <v>-69871</v>
      </c>
      <c r="I218" s="4" t="s">
        <v>101</v>
      </c>
      <c r="J218" s="5">
        <v>2032220</v>
      </c>
      <c r="K218" s="5">
        <v>23846</v>
      </c>
      <c r="L218" s="5">
        <v>4498038</v>
      </c>
      <c r="M218" s="5">
        <v>28481</v>
      </c>
      <c r="N218" s="7" t="s">
        <v>170</v>
      </c>
      <c r="O218" s="7" t="s">
        <v>553</v>
      </c>
      <c r="P218" s="11">
        <v>45359</v>
      </c>
      <c r="Q218" s="2" t="str">
        <f t="shared" si="24"/>
        <v>45359下午班本地二区</v>
      </c>
      <c r="R218" s="2">
        <f t="shared" si="29"/>
        <v>4498038</v>
      </c>
      <c r="S218" s="2">
        <f t="shared" si="29"/>
        <v>28481</v>
      </c>
      <c r="T218" s="2" t="str">
        <f t="shared" si="26"/>
        <v>45359本地二区-下午班</v>
      </c>
      <c r="U218" s="2">
        <f t="shared" si="27"/>
        <v>6.3318699999999999E-3</v>
      </c>
      <c r="V218" s="2" t="str">
        <f t="shared" si="28"/>
        <v>林好男</v>
      </c>
    </row>
    <row r="219" spans="1:22" ht="16.5" x14ac:dyDescent="0.4">
      <c r="A219" s="4" t="s">
        <v>93</v>
      </c>
      <c r="B219" s="70" t="s">
        <v>178</v>
      </c>
      <c r="C219" s="4" t="s">
        <v>122</v>
      </c>
      <c r="D219" s="4">
        <v>155</v>
      </c>
      <c r="E219" s="4">
        <v>106</v>
      </c>
      <c r="F219" s="5">
        <v>37837</v>
      </c>
      <c r="G219" s="5">
        <v>209686</v>
      </c>
      <c r="H219" s="6">
        <v>-171849</v>
      </c>
      <c r="I219" s="4" t="s">
        <v>101</v>
      </c>
      <c r="J219" s="5">
        <v>8008547</v>
      </c>
      <c r="K219" s="5">
        <v>37837</v>
      </c>
      <c r="L219" s="5">
        <v>13032797</v>
      </c>
      <c r="M219" s="5">
        <v>39240</v>
      </c>
      <c r="N219" s="7" t="s">
        <v>370</v>
      </c>
      <c r="O219" s="7" t="s">
        <v>554</v>
      </c>
      <c r="P219" s="11">
        <v>45360</v>
      </c>
      <c r="Q219" s="2" t="str">
        <f t="shared" si="24"/>
        <v>45360早班本地所有</v>
      </c>
      <c r="R219" s="2">
        <f t="shared" si="29"/>
        <v>13032797</v>
      </c>
      <c r="S219" s="2">
        <f t="shared" si="29"/>
        <v>39240</v>
      </c>
      <c r="T219" s="2" t="str">
        <f t="shared" si="26"/>
        <v>45360本地所有-早班</v>
      </c>
      <c r="U219" s="2">
        <f t="shared" si="27"/>
        <v>3.0108700000000001E-3</v>
      </c>
      <c r="V219" s="2" t="str">
        <f t="shared" si="28"/>
        <v>赵依然</v>
      </c>
    </row>
    <row r="220" spans="1:22" ht="16.5" x14ac:dyDescent="0.4">
      <c r="A220" s="4" t="s">
        <v>92</v>
      </c>
      <c r="B220" s="70" t="s">
        <v>178</v>
      </c>
      <c r="C220" s="4" t="s">
        <v>133</v>
      </c>
      <c r="D220" s="4">
        <v>195</v>
      </c>
      <c r="E220" s="4">
        <v>145</v>
      </c>
      <c r="F220" s="5">
        <v>56431</v>
      </c>
      <c r="G220" s="5">
        <v>209686</v>
      </c>
      <c r="H220" s="6">
        <v>-153255</v>
      </c>
      <c r="I220" s="4" t="s">
        <v>101</v>
      </c>
      <c r="J220" s="5">
        <v>7701680</v>
      </c>
      <c r="K220" s="5">
        <v>56431</v>
      </c>
      <c r="L220" s="5">
        <v>14510105</v>
      </c>
      <c r="M220" s="5">
        <v>61458</v>
      </c>
      <c r="N220" s="7" t="s">
        <v>185</v>
      </c>
      <c r="O220" s="7" t="s">
        <v>555</v>
      </c>
      <c r="P220" s="11">
        <v>45360</v>
      </c>
      <c r="Q220" s="2" t="str">
        <f t="shared" si="24"/>
        <v>45360下午班本地所有</v>
      </c>
      <c r="R220" s="2">
        <f t="shared" si="29"/>
        <v>14510105</v>
      </c>
      <c r="S220" s="2">
        <f t="shared" si="29"/>
        <v>61458</v>
      </c>
      <c r="T220" s="2" t="str">
        <f t="shared" si="26"/>
        <v>45360本地所有-下午班</v>
      </c>
      <c r="U220" s="2">
        <f t="shared" si="27"/>
        <v>4.2355300000000004E-3</v>
      </c>
      <c r="V220" s="2" t="str">
        <f t="shared" si="28"/>
        <v>林好男</v>
      </c>
    </row>
    <row r="221" spans="1:22" ht="16.5" x14ac:dyDescent="0.4">
      <c r="A221" s="4" t="s">
        <v>93</v>
      </c>
      <c r="B221" s="70" t="s">
        <v>178</v>
      </c>
      <c r="C221" s="4" t="s">
        <v>111</v>
      </c>
      <c r="D221" s="4">
        <v>162</v>
      </c>
      <c r="E221" s="4">
        <v>117</v>
      </c>
      <c r="F221" s="5">
        <v>37650</v>
      </c>
      <c r="G221" s="5">
        <v>209686</v>
      </c>
      <c r="H221" s="6">
        <v>-172036</v>
      </c>
      <c r="I221" s="4" t="s">
        <v>101</v>
      </c>
      <c r="J221" s="5">
        <v>7251416</v>
      </c>
      <c r="K221" s="5">
        <v>37650</v>
      </c>
      <c r="L221" s="5">
        <v>11201760</v>
      </c>
      <c r="M221" s="5">
        <v>38636</v>
      </c>
      <c r="N221" s="7" t="s">
        <v>461</v>
      </c>
      <c r="O221" s="7" t="s">
        <v>557</v>
      </c>
      <c r="P221" s="11">
        <v>45361</v>
      </c>
      <c r="Q221" s="2" t="str">
        <f t="shared" si="24"/>
        <v>45361早班本地所有</v>
      </c>
      <c r="R221" s="2">
        <f t="shared" si="29"/>
        <v>11201760</v>
      </c>
      <c r="S221" s="2">
        <f t="shared" si="29"/>
        <v>38636</v>
      </c>
      <c r="T221" s="2" t="str">
        <f t="shared" si="26"/>
        <v>45361本地所有-早班</v>
      </c>
      <c r="U221" s="2">
        <f t="shared" si="27"/>
        <v>3.4491000000000001E-3</v>
      </c>
      <c r="V221" s="2" t="str">
        <f t="shared" si="28"/>
        <v>陈楠</v>
      </c>
    </row>
    <row r="222" spans="1:22" ht="16.5" x14ac:dyDescent="0.4">
      <c r="A222" s="4" t="s">
        <v>92</v>
      </c>
      <c r="B222" s="70" t="s">
        <v>178</v>
      </c>
      <c r="C222" s="4" t="s">
        <v>133</v>
      </c>
      <c r="D222" s="4">
        <v>241</v>
      </c>
      <c r="E222" s="4">
        <v>146</v>
      </c>
      <c r="F222" s="5">
        <v>65067</v>
      </c>
      <c r="G222" s="5">
        <v>209686</v>
      </c>
      <c r="H222" s="6">
        <v>-144619</v>
      </c>
      <c r="I222" s="4" t="s">
        <v>101</v>
      </c>
      <c r="J222" s="5">
        <v>7942126</v>
      </c>
      <c r="K222" s="5">
        <v>65067</v>
      </c>
      <c r="L222" s="5">
        <v>16219273</v>
      </c>
      <c r="M222" s="5">
        <v>73505</v>
      </c>
      <c r="N222" s="7" t="s">
        <v>556</v>
      </c>
      <c r="O222" s="7" t="s">
        <v>558</v>
      </c>
      <c r="P222" s="11">
        <v>45361</v>
      </c>
      <c r="Q222" s="2" t="str">
        <f t="shared" si="24"/>
        <v>45361下午班本地所有</v>
      </c>
      <c r="R222" s="2">
        <f t="shared" si="29"/>
        <v>16219273</v>
      </c>
      <c r="S222" s="2">
        <f t="shared" si="29"/>
        <v>73505</v>
      </c>
      <c r="T222" s="2" t="str">
        <f t="shared" si="26"/>
        <v>45361本地所有-下午班</v>
      </c>
      <c r="U222" s="2">
        <f t="shared" si="27"/>
        <v>4.5319499999999999E-3</v>
      </c>
      <c r="V222" s="2" t="str">
        <f t="shared" si="28"/>
        <v>林好男</v>
      </c>
    </row>
    <row r="223" spans="1:22" ht="16.5" x14ac:dyDescent="0.4">
      <c r="A223" s="4" t="s">
        <v>93</v>
      </c>
      <c r="B223" s="70" t="s">
        <v>178</v>
      </c>
      <c r="C223" s="4" t="s">
        <v>111</v>
      </c>
      <c r="D223" s="4">
        <v>153</v>
      </c>
      <c r="E223" s="4">
        <v>117</v>
      </c>
      <c r="F223" s="5">
        <v>38689</v>
      </c>
      <c r="G223" s="5">
        <v>209686</v>
      </c>
      <c r="H223" s="6">
        <v>-170997</v>
      </c>
      <c r="I223" s="4" t="s">
        <v>101</v>
      </c>
      <c r="J223" s="5">
        <v>7133249</v>
      </c>
      <c r="K223" s="5">
        <v>38689</v>
      </c>
      <c r="L223" s="5">
        <v>10926536</v>
      </c>
      <c r="M223" s="5">
        <v>39770</v>
      </c>
      <c r="N223" s="7" t="s">
        <v>451</v>
      </c>
      <c r="O223" s="7" t="s">
        <v>559</v>
      </c>
      <c r="P223" s="11">
        <v>45362</v>
      </c>
      <c r="Q223" s="2" t="str">
        <f t="shared" si="24"/>
        <v>45362早班本地所有</v>
      </c>
      <c r="R223" s="2">
        <f t="shared" si="29"/>
        <v>10926536</v>
      </c>
      <c r="S223" s="2">
        <f t="shared" si="29"/>
        <v>39770</v>
      </c>
      <c r="T223" s="2" t="str">
        <f t="shared" si="26"/>
        <v>45362本地所有-早班</v>
      </c>
      <c r="U223" s="2">
        <f t="shared" si="27"/>
        <v>3.6397600000000001E-3</v>
      </c>
      <c r="V223" s="2" t="str">
        <f t="shared" si="28"/>
        <v>陈楠</v>
      </c>
    </row>
    <row r="224" spans="1:22" ht="16.5" x14ac:dyDescent="0.4">
      <c r="A224" s="4" t="s">
        <v>92</v>
      </c>
      <c r="B224" s="70" t="s">
        <v>178</v>
      </c>
      <c r="C224" s="4" t="s">
        <v>133</v>
      </c>
      <c r="D224" s="4">
        <v>275</v>
      </c>
      <c r="E224" s="4">
        <v>192</v>
      </c>
      <c r="F224" s="5">
        <v>62431</v>
      </c>
      <c r="G224" s="5">
        <v>209686</v>
      </c>
      <c r="H224" s="6">
        <v>-147255</v>
      </c>
      <c r="I224" s="4" t="s">
        <v>101</v>
      </c>
      <c r="J224" s="5">
        <v>7861950</v>
      </c>
      <c r="K224" s="5">
        <v>62431</v>
      </c>
      <c r="L224" s="5">
        <v>15702456</v>
      </c>
      <c r="M224" s="5">
        <v>69400</v>
      </c>
      <c r="N224" s="7" t="s">
        <v>317</v>
      </c>
      <c r="O224" s="7" t="s">
        <v>560</v>
      </c>
      <c r="P224" s="11">
        <v>45362</v>
      </c>
      <c r="Q224" s="2" t="str">
        <f t="shared" si="24"/>
        <v>45362下午班本地所有</v>
      </c>
      <c r="R224" s="2">
        <f t="shared" si="29"/>
        <v>15702456</v>
      </c>
      <c r="S224" s="2">
        <f t="shared" si="29"/>
        <v>69400</v>
      </c>
      <c r="T224" s="2" t="str">
        <f t="shared" si="26"/>
        <v>45362本地所有-下午班</v>
      </c>
      <c r="U224" s="2">
        <f t="shared" si="27"/>
        <v>4.4196900000000004E-3</v>
      </c>
      <c r="V224" s="2" t="str">
        <f t="shared" si="28"/>
        <v>林好男</v>
      </c>
    </row>
    <row r="225" spans="1:22" ht="16.5" x14ac:dyDescent="0.4">
      <c r="A225" s="4" t="s">
        <v>93</v>
      </c>
      <c r="B225" s="70" t="s">
        <v>178</v>
      </c>
      <c r="C225" s="4" t="s">
        <v>122</v>
      </c>
      <c r="D225" s="4">
        <v>164</v>
      </c>
      <c r="E225" s="4">
        <v>113</v>
      </c>
      <c r="F225" s="5">
        <v>40129</v>
      </c>
      <c r="G225" s="5">
        <v>209686</v>
      </c>
      <c r="H225" s="6">
        <v>-169557</v>
      </c>
      <c r="I225" s="4" t="s">
        <v>101</v>
      </c>
      <c r="J225" s="5">
        <v>8076373</v>
      </c>
      <c r="K225" s="5">
        <v>40129</v>
      </c>
      <c r="L225" s="5">
        <v>12631375</v>
      </c>
      <c r="M225" s="5">
        <v>41143</v>
      </c>
      <c r="N225" s="7" t="s">
        <v>407</v>
      </c>
      <c r="O225" s="7" t="s">
        <v>562</v>
      </c>
      <c r="P225" s="11">
        <v>45363</v>
      </c>
      <c r="Q225" s="2" t="str">
        <f t="shared" si="24"/>
        <v>45363早班本地所有</v>
      </c>
      <c r="R225" s="2">
        <f t="shared" si="29"/>
        <v>12631375</v>
      </c>
      <c r="S225" s="2">
        <f t="shared" si="29"/>
        <v>41143</v>
      </c>
      <c r="T225" s="2" t="str">
        <f t="shared" si="26"/>
        <v>45363本地所有-早班</v>
      </c>
      <c r="U225" s="2">
        <f t="shared" si="27"/>
        <v>3.25721E-3</v>
      </c>
      <c r="V225" s="2" t="str">
        <f t="shared" si="28"/>
        <v>赵依然</v>
      </c>
    </row>
    <row r="226" spans="1:22" ht="16.5" x14ac:dyDescent="0.4">
      <c r="A226" s="4" t="s">
        <v>92</v>
      </c>
      <c r="B226" s="70" t="s">
        <v>178</v>
      </c>
      <c r="C226" s="4" t="s">
        <v>111</v>
      </c>
      <c r="D226" s="4">
        <v>177</v>
      </c>
      <c r="E226" s="4">
        <v>139</v>
      </c>
      <c r="F226" s="5">
        <v>67979</v>
      </c>
      <c r="G226" s="5">
        <v>209686</v>
      </c>
      <c r="H226" s="6">
        <v>-141707</v>
      </c>
      <c r="I226" s="4" t="s">
        <v>101</v>
      </c>
      <c r="J226" s="5">
        <v>8089199</v>
      </c>
      <c r="K226" s="5">
        <v>67979</v>
      </c>
      <c r="L226" s="5">
        <v>16158874</v>
      </c>
      <c r="M226" s="5">
        <v>73136</v>
      </c>
      <c r="N226" s="7" t="s">
        <v>561</v>
      </c>
      <c r="O226" s="7" t="s">
        <v>563</v>
      </c>
      <c r="P226" s="11">
        <v>45363</v>
      </c>
      <c r="Q226" s="2" t="str">
        <f t="shared" si="24"/>
        <v>45363下午班本地所有</v>
      </c>
      <c r="R226" s="2">
        <f t="shared" ref="R226:S241" si="30">L226</f>
        <v>16158874</v>
      </c>
      <c r="S226" s="2">
        <f t="shared" si="30"/>
        <v>73136</v>
      </c>
      <c r="T226" s="2" t="str">
        <f t="shared" si="26"/>
        <v>45363本地所有-下午班</v>
      </c>
      <c r="U226" s="2">
        <f t="shared" si="27"/>
        <v>4.5260600000000002E-3</v>
      </c>
      <c r="V226" s="2" t="str">
        <f t="shared" si="28"/>
        <v>陈楠</v>
      </c>
    </row>
    <row r="227" spans="1:22" ht="16.5" x14ac:dyDescent="0.4">
      <c r="A227" s="4" t="s">
        <v>93</v>
      </c>
      <c r="B227" s="70" t="s">
        <v>178</v>
      </c>
      <c r="C227" s="4" t="s">
        <v>122</v>
      </c>
      <c r="D227" s="4">
        <v>190</v>
      </c>
      <c r="E227" s="4">
        <v>125</v>
      </c>
      <c r="F227" s="5">
        <v>49337</v>
      </c>
      <c r="G227" s="5">
        <v>209686</v>
      </c>
      <c r="H227" s="6">
        <v>-160349</v>
      </c>
      <c r="I227" s="4" t="s">
        <v>101</v>
      </c>
      <c r="J227" s="5">
        <v>8028929</v>
      </c>
      <c r="K227" s="5">
        <v>49337</v>
      </c>
      <c r="L227" s="5">
        <v>18224092</v>
      </c>
      <c r="M227" s="5">
        <v>52656</v>
      </c>
      <c r="N227" s="7" t="s">
        <v>412</v>
      </c>
      <c r="O227" s="7" t="s">
        <v>564</v>
      </c>
      <c r="P227" s="11">
        <v>45364</v>
      </c>
      <c r="Q227" s="2" t="str">
        <f t="shared" si="24"/>
        <v>45364早班本地所有</v>
      </c>
      <c r="R227" s="2">
        <f t="shared" si="30"/>
        <v>18224092</v>
      </c>
      <c r="S227" s="2">
        <f t="shared" si="30"/>
        <v>52656</v>
      </c>
      <c r="T227" s="2" t="str">
        <f t="shared" si="26"/>
        <v>45364本地所有-早班</v>
      </c>
      <c r="U227" s="2">
        <f t="shared" si="27"/>
        <v>2.8893600000000001E-3</v>
      </c>
      <c r="V227" s="2" t="str">
        <f t="shared" si="28"/>
        <v>赵依然</v>
      </c>
    </row>
    <row r="228" spans="1:22" ht="16.5" x14ac:dyDescent="0.4">
      <c r="A228" s="4" t="s">
        <v>92</v>
      </c>
      <c r="B228" s="70" t="s">
        <v>178</v>
      </c>
      <c r="C228" s="4" t="s">
        <v>158</v>
      </c>
      <c r="D228" s="4">
        <v>187</v>
      </c>
      <c r="E228" s="4">
        <v>120</v>
      </c>
      <c r="F228" s="5">
        <v>55701</v>
      </c>
      <c r="G228" s="5">
        <v>209686</v>
      </c>
      <c r="H228" s="6">
        <v>-153985</v>
      </c>
      <c r="I228" s="4" t="s">
        <v>101</v>
      </c>
      <c r="J228" s="5">
        <v>5086448</v>
      </c>
      <c r="K228" s="5">
        <v>55701</v>
      </c>
      <c r="L228" s="5">
        <v>8678638</v>
      </c>
      <c r="M228" s="5">
        <v>60148</v>
      </c>
      <c r="N228" s="7" t="s">
        <v>157</v>
      </c>
      <c r="O228" s="7" t="s">
        <v>565</v>
      </c>
      <c r="P228" s="11">
        <v>45364</v>
      </c>
      <c r="Q228" s="2" t="str">
        <f t="shared" si="24"/>
        <v>45364下午班本地所有</v>
      </c>
      <c r="R228" s="2">
        <f t="shared" si="30"/>
        <v>8678638</v>
      </c>
      <c r="S228" s="2">
        <f t="shared" si="30"/>
        <v>60148</v>
      </c>
      <c r="T228" s="2" t="str">
        <f t="shared" si="26"/>
        <v>45364本地所有-下午班</v>
      </c>
      <c r="U228" s="2">
        <f t="shared" si="27"/>
        <v>6.9305800000000004E-3</v>
      </c>
      <c r="V228" s="2" t="str">
        <f t="shared" si="28"/>
        <v>李晓晗</v>
      </c>
    </row>
    <row r="229" spans="1:22" ht="16.5" x14ac:dyDescent="0.4">
      <c r="A229" s="4" t="s">
        <v>93</v>
      </c>
      <c r="B229" s="70" t="s">
        <v>178</v>
      </c>
      <c r="C229" s="4" t="s">
        <v>133</v>
      </c>
      <c r="D229" s="4">
        <v>186</v>
      </c>
      <c r="E229" s="4">
        <v>154</v>
      </c>
      <c r="F229" s="5">
        <v>44140</v>
      </c>
      <c r="G229" s="5">
        <v>209686</v>
      </c>
      <c r="H229" s="6">
        <v>-165546</v>
      </c>
      <c r="I229" s="4" t="s">
        <v>101</v>
      </c>
      <c r="J229" s="5">
        <v>4021103</v>
      </c>
      <c r="K229" s="5">
        <v>44140</v>
      </c>
      <c r="L229" s="5">
        <v>8470368</v>
      </c>
      <c r="M229" s="5">
        <v>46968</v>
      </c>
      <c r="N229" s="7" t="s">
        <v>157</v>
      </c>
      <c r="O229" s="7" t="s">
        <v>566</v>
      </c>
      <c r="P229" s="11">
        <v>45365</v>
      </c>
      <c r="Q229" s="2" t="str">
        <f t="shared" si="24"/>
        <v>45365早班本地所有</v>
      </c>
      <c r="R229" s="2">
        <f t="shared" si="30"/>
        <v>8470368</v>
      </c>
      <c r="S229" s="2">
        <f t="shared" si="30"/>
        <v>46968</v>
      </c>
      <c r="T229" s="2" t="str">
        <f t="shared" si="26"/>
        <v>45365本地所有-早班</v>
      </c>
      <c r="U229" s="2">
        <f t="shared" si="27"/>
        <v>5.5449799999999997E-3</v>
      </c>
      <c r="V229" s="2" t="str">
        <f t="shared" si="28"/>
        <v>林好男</v>
      </c>
    </row>
    <row r="230" spans="1:22" ht="16.5" x14ac:dyDescent="0.4">
      <c r="A230" s="4" t="s">
        <v>92</v>
      </c>
      <c r="B230" s="70" t="s">
        <v>178</v>
      </c>
      <c r="C230" s="4" t="s">
        <v>158</v>
      </c>
      <c r="D230" s="4">
        <v>217</v>
      </c>
      <c r="E230" s="4">
        <v>135</v>
      </c>
      <c r="F230" s="5">
        <v>57821</v>
      </c>
      <c r="G230" s="5">
        <v>209686</v>
      </c>
      <c r="H230" s="6">
        <v>-151865</v>
      </c>
      <c r="I230" s="4" t="s">
        <v>101</v>
      </c>
      <c r="J230" s="5">
        <v>4408418</v>
      </c>
      <c r="K230" s="5">
        <v>57821</v>
      </c>
      <c r="L230" s="5">
        <v>9033435</v>
      </c>
      <c r="M230" s="5">
        <v>63232</v>
      </c>
      <c r="N230" s="7" t="s">
        <v>130</v>
      </c>
      <c r="O230" s="7" t="s">
        <v>567</v>
      </c>
      <c r="P230" s="11">
        <v>45365</v>
      </c>
      <c r="Q230" s="2" t="str">
        <f t="shared" si="24"/>
        <v>45365下午班本地所有</v>
      </c>
      <c r="R230" s="2">
        <f t="shared" si="30"/>
        <v>9033435</v>
      </c>
      <c r="S230" s="2">
        <f t="shared" si="30"/>
        <v>63232</v>
      </c>
      <c r="T230" s="2" t="str">
        <f t="shared" si="26"/>
        <v>45365本地所有-下午班</v>
      </c>
      <c r="U230" s="2">
        <f t="shared" si="27"/>
        <v>6.9997699999999998E-3</v>
      </c>
      <c r="V230" s="2" t="str">
        <f t="shared" si="28"/>
        <v>李晓晗</v>
      </c>
    </row>
    <row r="231" spans="1:22" ht="16.5" x14ac:dyDescent="0.4">
      <c r="A231" s="4" t="s">
        <v>93</v>
      </c>
      <c r="B231" s="70" t="s">
        <v>178</v>
      </c>
      <c r="C231" s="4" t="s">
        <v>133</v>
      </c>
      <c r="D231" s="4">
        <v>239</v>
      </c>
      <c r="E231" s="4">
        <v>173</v>
      </c>
      <c r="F231" s="5">
        <v>49461</v>
      </c>
      <c r="G231" s="5">
        <v>209686</v>
      </c>
      <c r="H231" s="6">
        <v>-160225</v>
      </c>
      <c r="I231" s="4" t="s">
        <v>101</v>
      </c>
      <c r="J231" s="5">
        <v>7100178</v>
      </c>
      <c r="K231" s="5">
        <v>49461</v>
      </c>
      <c r="L231" s="5">
        <v>13370006</v>
      </c>
      <c r="M231" s="5">
        <v>52773</v>
      </c>
      <c r="N231" s="7" t="s">
        <v>172</v>
      </c>
      <c r="O231" s="7" t="s">
        <v>568</v>
      </c>
      <c r="P231" s="11">
        <v>45366</v>
      </c>
      <c r="Q231" s="2" t="str">
        <f t="shared" si="24"/>
        <v>45366早班本地所有</v>
      </c>
      <c r="R231" s="2">
        <f t="shared" si="30"/>
        <v>13370006</v>
      </c>
      <c r="S231" s="2">
        <f t="shared" si="30"/>
        <v>52773</v>
      </c>
      <c r="T231" s="2" t="str">
        <f t="shared" si="26"/>
        <v>45366本地所有-早班</v>
      </c>
      <c r="U231" s="2">
        <f t="shared" si="27"/>
        <v>3.9471200000000001E-3</v>
      </c>
      <c r="V231" s="2" t="str">
        <f t="shared" si="28"/>
        <v>林好男</v>
      </c>
    </row>
    <row r="232" spans="1:22" ht="16.5" x14ac:dyDescent="0.4">
      <c r="A232" s="4" t="s">
        <v>92</v>
      </c>
      <c r="B232" s="70" t="s">
        <v>104</v>
      </c>
      <c r="C232" s="4" t="s">
        <v>111</v>
      </c>
      <c r="D232" s="4">
        <v>152</v>
      </c>
      <c r="E232" s="4">
        <v>118</v>
      </c>
      <c r="F232" s="5">
        <v>46994</v>
      </c>
      <c r="G232" s="5">
        <v>115970</v>
      </c>
      <c r="H232" s="6">
        <v>-68976</v>
      </c>
      <c r="I232" s="4" t="s">
        <v>101</v>
      </c>
      <c r="J232" s="5">
        <v>6103739</v>
      </c>
      <c r="K232" s="5">
        <v>46994</v>
      </c>
      <c r="L232" s="5">
        <v>10585358</v>
      </c>
      <c r="M232" s="5">
        <v>50772</v>
      </c>
      <c r="N232" s="7" t="s">
        <v>169</v>
      </c>
      <c r="O232" s="7" t="s">
        <v>569</v>
      </c>
      <c r="P232" s="11">
        <v>45366</v>
      </c>
      <c r="Q232" s="2" t="str">
        <f t="shared" si="24"/>
        <v>45366下午班本地一区</v>
      </c>
      <c r="R232" s="2">
        <f t="shared" si="30"/>
        <v>10585358</v>
      </c>
      <c r="S232" s="2">
        <f t="shared" si="30"/>
        <v>50772</v>
      </c>
      <c r="T232" s="2" t="str">
        <f t="shared" si="26"/>
        <v>45366本地一区-下午班</v>
      </c>
      <c r="U232" s="2">
        <f t="shared" si="27"/>
        <v>4.7964399999999999E-3</v>
      </c>
      <c r="V232" s="2" t="str">
        <f t="shared" si="28"/>
        <v>陈楠</v>
      </c>
    </row>
    <row r="233" spans="1:22" ht="16.5" x14ac:dyDescent="0.4">
      <c r="A233" s="4" t="s">
        <v>92</v>
      </c>
      <c r="B233" s="70" t="s">
        <v>105</v>
      </c>
      <c r="C233" s="4" t="s">
        <v>158</v>
      </c>
      <c r="D233" s="4">
        <v>156</v>
      </c>
      <c r="E233" s="4">
        <v>106</v>
      </c>
      <c r="F233" s="5">
        <v>27356</v>
      </c>
      <c r="G233" s="5">
        <v>93717</v>
      </c>
      <c r="H233" s="6">
        <v>-66361</v>
      </c>
      <c r="I233" s="4" t="s">
        <v>101</v>
      </c>
      <c r="J233" s="5">
        <v>2262950</v>
      </c>
      <c r="K233" s="5">
        <v>27356</v>
      </c>
      <c r="L233" s="5">
        <v>4621361</v>
      </c>
      <c r="M233" s="5">
        <v>29257</v>
      </c>
      <c r="N233" s="7" t="s">
        <v>409</v>
      </c>
      <c r="O233" s="7" t="s">
        <v>570</v>
      </c>
      <c r="P233" s="11">
        <v>45366</v>
      </c>
      <c r="Q233" s="2" t="str">
        <f t="shared" si="24"/>
        <v>45366下午班本地二区</v>
      </c>
      <c r="R233" s="2">
        <f t="shared" si="30"/>
        <v>4621361</v>
      </c>
      <c r="S233" s="2">
        <f t="shared" si="30"/>
        <v>29257</v>
      </c>
      <c r="T233" s="2" t="str">
        <f t="shared" si="26"/>
        <v>45366本地二区-下午班</v>
      </c>
      <c r="U233" s="2">
        <f t="shared" si="27"/>
        <v>6.33082E-3</v>
      </c>
      <c r="V233" s="2" t="str">
        <f t="shared" si="28"/>
        <v>李晓晗</v>
      </c>
    </row>
    <row r="234" spans="1:22" ht="16.5" x14ac:dyDescent="0.4">
      <c r="A234" s="4" t="s">
        <v>93</v>
      </c>
      <c r="B234" s="70" t="s">
        <v>104</v>
      </c>
      <c r="C234" s="4" t="s">
        <v>133</v>
      </c>
      <c r="D234" s="4">
        <v>211</v>
      </c>
      <c r="E234" s="4">
        <v>152</v>
      </c>
      <c r="F234" s="5">
        <v>35007</v>
      </c>
      <c r="G234" s="5">
        <v>115970</v>
      </c>
      <c r="H234" s="6">
        <v>-80963</v>
      </c>
      <c r="I234" s="4" t="s">
        <v>101</v>
      </c>
      <c r="J234" s="5">
        <v>4098670</v>
      </c>
      <c r="K234" s="5">
        <v>35007</v>
      </c>
      <c r="L234" s="5">
        <v>8751376</v>
      </c>
      <c r="M234" s="5">
        <v>38859</v>
      </c>
      <c r="N234" s="7" t="s">
        <v>364</v>
      </c>
      <c r="O234" s="7" t="s">
        <v>571</v>
      </c>
      <c r="P234" s="11">
        <v>45367</v>
      </c>
      <c r="Q234" s="2" t="str">
        <f t="shared" si="24"/>
        <v>45367早班本地一区</v>
      </c>
      <c r="R234" s="2">
        <f t="shared" si="30"/>
        <v>8751376</v>
      </c>
      <c r="S234" s="2">
        <f t="shared" si="30"/>
        <v>38859</v>
      </c>
      <c r="T234" s="2" t="str">
        <f t="shared" si="26"/>
        <v>45367本地一区-早班</v>
      </c>
      <c r="U234" s="2">
        <f t="shared" si="27"/>
        <v>4.4403300000000001E-3</v>
      </c>
      <c r="V234" s="2" t="str">
        <f t="shared" si="28"/>
        <v>林好男</v>
      </c>
    </row>
    <row r="235" spans="1:22" ht="16.5" x14ac:dyDescent="0.4">
      <c r="A235" s="4" t="s">
        <v>93</v>
      </c>
      <c r="B235" s="70" t="s">
        <v>105</v>
      </c>
      <c r="C235" s="4" t="s">
        <v>122</v>
      </c>
      <c r="D235" s="4">
        <v>161</v>
      </c>
      <c r="E235" s="4">
        <v>95</v>
      </c>
      <c r="F235" s="5">
        <v>20057</v>
      </c>
      <c r="G235" s="5">
        <v>93717</v>
      </c>
      <c r="H235" s="6">
        <v>-73660</v>
      </c>
      <c r="I235" s="4" t="s">
        <v>101</v>
      </c>
      <c r="J235" s="5">
        <v>3211285</v>
      </c>
      <c r="K235" s="5">
        <v>20057</v>
      </c>
      <c r="L235" s="5">
        <v>5964995</v>
      </c>
      <c r="M235" s="5">
        <v>20991</v>
      </c>
      <c r="N235" s="7" t="s">
        <v>411</v>
      </c>
      <c r="O235" s="7" t="s">
        <v>572</v>
      </c>
      <c r="P235" s="11">
        <v>45367</v>
      </c>
      <c r="Q235" s="2" t="str">
        <f t="shared" si="24"/>
        <v>45367早班本地二区</v>
      </c>
      <c r="R235" s="2">
        <f t="shared" si="30"/>
        <v>5964995</v>
      </c>
      <c r="S235" s="2">
        <f t="shared" si="30"/>
        <v>20991</v>
      </c>
      <c r="T235" s="2" t="str">
        <f t="shared" si="26"/>
        <v>45367本地二区-早班</v>
      </c>
      <c r="U235" s="2">
        <f t="shared" si="27"/>
        <v>3.5190299999999998E-3</v>
      </c>
      <c r="V235" s="2" t="str">
        <f t="shared" si="28"/>
        <v>赵依然</v>
      </c>
    </row>
    <row r="236" spans="1:22" ht="16.5" x14ac:dyDescent="0.4">
      <c r="A236" s="4" t="s">
        <v>92</v>
      </c>
      <c r="B236" s="70" t="s">
        <v>178</v>
      </c>
      <c r="C236" s="4" t="s">
        <v>111</v>
      </c>
      <c r="D236" s="4">
        <v>168</v>
      </c>
      <c r="E236" s="4">
        <v>124</v>
      </c>
      <c r="F236" s="5">
        <v>55206</v>
      </c>
      <c r="G236" s="5">
        <v>209686</v>
      </c>
      <c r="H236" s="6">
        <v>-154480</v>
      </c>
      <c r="I236" s="4" t="s">
        <v>101</v>
      </c>
      <c r="J236" s="5">
        <v>7500937</v>
      </c>
      <c r="K236" s="5">
        <v>55206</v>
      </c>
      <c r="L236" s="5">
        <v>13554206</v>
      </c>
      <c r="M236" s="5">
        <v>59085</v>
      </c>
      <c r="N236" s="7" t="s">
        <v>438</v>
      </c>
      <c r="O236" s="7" t="s">
        <v>573</v>
      </c>
      <c r="P236" s="11">
        <v>45367</v>
      </c>
      <c r="Q236" s="2" t="str">
        <f t="shared" si="24"/>
        <v>45367下午班本地所有</v>
      </c>
      <c r="R236" s="2">
        <f t="shared" si="30"/>
        <v>13554206</v>
      </c>
      <c r="S236" s="2">
        <f t="shared" si="30"/>
        <v>59085</v>
      </c>
      <c r="T236" s="2" t="str">
        <f t="shared" si="26"/>
        <v>45367本地所有-下午班</v>
      </c>
      <c r="U236" s="2">
        <f t="shared" si="27"/>
        <v>4.3591599999999999E-3</v>
      </c>
      <c r="V236" s="2" t="str">
        <f t="shared" si="28"/>
        <v>陈楠</v>
      </c>
    </row>
    <row r="237" spans="1:22" ht="16.5" x14ac:dyDescent="0.4">
      <c r="A237" s="4" t="s">
        <v>93</v>
      </c>
      <c r="B237" s="70" t="s">
        <v>104</v>
      </c>
      <c r="C237" s="4" t="s">
        <v>122</v>
      </c>
      <c r="D237" s="4">
        <v>152</v>
      </c>
      <c r="E237" s="4">
        <v>105</v>
      </c>
      <c r="F237" s="5">
        <v>35360</v>
      </c>
      <c r="G237" s="5">
        <v>115970</v>
      </c>
      <c r="H237" s="6">
        <v>-80610</v>
      </c>
      <c r="I237" s="4" t="s">
        <v>101</v>
      </c>
      <c r="J237" s="5">
        <v>6489496</v>
      </c>
      <c r="K237" s="5">
        <v>35360</v>
      </c>
      <c r="L237" s="5">
        <v>10146089</v>
      </c>
      <c r="M237" s="5">
        <v>37968</v>
      </c>
      <c r="N237" s="7" t="s">
        <v>451</v>
      </c>
      <c r="O237" s="7" t="s">
        <v>574</v>
      </c>
      <c r="P237" s="11">
        <v>45368</v>
      </c>
      <c r="Q237" s="2" t="str">
        <f t="shared" si="24"/>
        <v>45368早班本地一区</v>
      </c>
      <c r="R237" s="2">
        <f t="shared" si="30"/>
        <v>10146089</v>
      </c>
      <c r="S237" s="2">
        <f t="shared" si="30"/>
        <v>37968</v>
      </c>
      <c r="T237" s="2" t="str">
        <f t="shared" si="26"/>
        <v>45368本地一区-早班</v>
      </c>
      <c r="U237" s="2">
        <f t="shared" si="27"/>
        <v>3.7421300000000002E-3</v>
      </c>
      <c r="V237" s="2" t="str">
        <f t="shared" si="28"/>
        <v>赵依然</v>
      </c>
    </row>
    <row r="238" spans="1:22" ht="16.5" x14ac:dyDescent="0.4">
      <c r="A238" s="4" t="s">
        <v>93</v>
      </c>
      <c r="B238" s="70" t="s">
        <v>105</v>
      </c>
      <c r="C238" s="4" t="s">
        <v>158</v>
      </c>
      <c r="D238" s="4">
        <v>183</v>
      </c>
      <c r="E238" s="4">
        <v>105</v>
      </c>
      <c r="F238" s="5">
        <v>23581</v>
      </c>
      <c r="G238" s="5">
        <v>93717</v>
      </c>
      <c r="H238" s="6">
        <v>-70136</v>
      </c>
      <c r="I238" s="4" t="s">
        <v>101</v>
      </c>
      <c r="J238" s="5">
        <v>1195845</v>
      </c>
      <c r="K238" s="5">
        <v>23581</v>
      </c>
      <c r="L238" s="5">
        <v>4275538</v>
      </c>
      <c r="M238" s="5">
        <v>25859</v>
      </c>
      <c r="N238" s="7" t="s">
        <v>575</v>
      </c>
      <c r="O238" s="7" t="s">
        <v>576</v>
      </c>
      <c r="P238" s="11">
        <v>45368</v>
      </c>
      <c r="Q238" s="2" t="str">
        <f t="shared" si="24"/>
        <v>45368早班本地二区</v>
      </c>
      <c r="R238" s="2">
        <f t="shared" si="30"/>
        <v>4275538</v>
      </c>
      <c r="S238" s="2">
        <f t="shared" si="30"/>
        <v>25859</v>
      </c>
      <c r="T238" s="2" t="str">
        <f t="shared" si="26"/>
        <v>45368本地二区-早班</v>
      </c>
      <c r="U238" s="2">
        <f t="shared" si="27"/>
        <v>6.0481299999999997E-3</v>
      </c>
      <c r="V238" s="2" t="str">
        <f t="shared" si="28"/>
        <v>李晓晗</v>
      </c>
    </row>
    <row r="239" spans="1:22" ht="16.5" x14ac:dyDescent="0.4">
      <c r="A239" s="4" t="s">
        <v>92</v>
      </c>
      <c r="B239" s="70" t="s">
        <v>178</v>
      </c>
      <c r="C239" s="4" t="s">
        <v>111</v>
      </c>
      <c r="D239" s="4">
        <v>158</v>
      </c>
      <c r="E239" s="4">
        <v>124</v>
      </c>
      <c r="F239" s="5">
        <v>54543</v>
      </c>
      <c r="G239" s="5">
        <v>209686</v>
      </c>
      <c r="H239" s="6">
        <v>-155143</v>
      </c>
      <c r="I239" s="4" t="s">
        <v>101</v>
      </c>
      <c r="J239" s="5">
        <v>7465970</v>
      </c>
      <c r="K239" s="5">
        <v>54543</v>
      </c>
      <c r="L239" s="5">
        <v>13077822</v>
      </c>
      <c r="M239" s="5">
        <v>58154</v>
      </c>
      <c r="N239" s="7" t="s">
        <v>185</v>
      </c>
      <c r="O239" s="7" t="s">
        <v>577</v>
      </c>
      <c r="P239" s="11">
        <v>45368</v>
      </c>
      <c r="Q239" s="2" t="str">
        <f t="shared" si="24"/>
        <v>45368下午班本地所有</v>
      </c>
      <c r="R239" s="2">
        <f t="shared" si="30"/>
        <v>13077822</v>
      </c>
      <c r="S239" s="2">
        <f t="shared" si="30"/>
        <v>58154</v>
      </c>
      <c r="T239" s="2" t="str">
        <f t="shared" si="26"/>
        <v>45368本地所有-下午班</v>
      </c>
      <c r="U239" s="2">
        <f t="shared" si="27"/>
        <v>4.4467600000000001E-3</v>
      </c>
      <c r="V239" s="2" t="str">
        <f t="shared" si="28"/>
        <v>陈楠</v>
      </c>
    </row>
    <row r="240" spans="1:22" ht="16.5" x14ac:dyDescent="0.4">
      <c r="A240" s="4" t="s">
        <v>93</v>
      </c>
      <c r="B240" s="70" t="s">
        <v>104</v>
      </c>
      <c r="C240" s="4" t="s">
        <v>110</v>
      </c>
      <c r="D240" s="4">
        <v>177</v>
      </c>
      <c r="E240" s="4">
        <v>119</v>
      </c>
      <c r="F240" s="5">
        <v>29995</v>
      </c>
      <c r="G240" s="5">
        <v>115970</v>
      </c>
      <c r="H240" s="6">
        <v>-85975</v>
      </c>
      <c r="I240" s="4" t="s">
        <v>101</v>
      </c>
      <c r="J240" s="5">
        <v>940259</v>
      </c>
      <c r="K240" s="5">
        <v>29995</v>
      </c>
      <c r="L240" s="5">
        <v>5104778</v>
      </c>
      <c r="M240" s="5">
        <v>33080</v>
      </c>
      <c r="N240" s="7" t="s">
        <v>579</v>
      </c>
      <c r="O240" s="7" t="s">
        <v>580</v>
      </c>
      <c r="P240" s="11">
        <v>45369</v>
      </c>
      <c r="Q240" s="2" t="str">
        <f t="shared" si="24"/>
        <v>45369早班本地一区</v>
      </c>
      <c r="R240" s="2">
        <f t="shared" si="30"/>
        <v>5104778</v>
      </c>
      <c r="S240" s="2">
        <f t="shared" si="30"/>
        <v>33080</v>
      </c>
      <c r="T240" s="2" t="str">
        <f t="shared" si="26"/>
        <v>45369本地一区-早班</v>
      </c>
      <c r="U240" s="2">
        <f t="shared" si="27"/>
        <v>6.4802000000000002E-3</v>
      </c>
      <c r="V240" s="2" t="str">
        <f t="shared" si="28"/>
        <v>赵勇</v>
      </c>
    </row>
    <row r="241" spans="1:22" ht="16.5" x14ac:dyDescent="0.4">
      <c r="A241" s="4" t="s">
        <v>93</v>
      </c>
      <c r="B241" s="70" t="s">
        <v>105</v>
      </c>
      <c r="C241" s="4" t="s">
        <v>158</v>
      </c>
      <c r="D241" s="4">
        <v>175</v>
      </c>
      <c r="E241" s="4">
        <v>103</v>
      </c>
      <c r="F241" s="5">
        <v>24636</v>
      </c>
      <c r="G241" s="5">
        <v>93717</v>
      </c>
      <c r="H241" s="6">
        <v>-69081</v>
      </c>
      <c r="I241" s="4" t="s">
        <v>101</v>
      </c>
      <c r="J241" s="5">
        <v>1020311</v>
      </c>
      <c r="K241" s="5">
        <v>24636</v>
      </c>
      <c r="L241" s="5">
        <v>4008034</v>
      </c>
      <c r="M241" s="5">
        <v>27611</v>
      </c>
      <c r="N241" s="7" t="s">
        <v>581</v>
      </c>
      <c r="O241" s="7" t="s">
        <v>582</v>
      </c>
      <c r="P241" s="11">
        <v>45369</v>
      </c>
      <c r="Q241" s="2" t="str">
        <f t="shared" si="24"/>
        <v>45369早班本地二区</v>
      </c>
      <c r="R241" s="2">
        <f t="shared" si="30"/>
        <v>4008034</v>
      </c>
      <c r="S241" s="2">
        <f t="shared" si="30"/>
        <v>27611</v>
      </c>
      <c r="T241" s="2" t="str">
        <f t="shared" si="26"/>
        <v>45369本地二区-早班</v>
      </c>
      <c r="U241" s="2">
        <f t="shared" si="27"/>
        <v>6.8889099999999998E-3</v>
      </c>
      <c r="V241" s="2" t="str">
        <f t="shared" si="28"/>
        <v>李晓晗</v>
      </c>
    </row>
    <row r="242" spans="1:22" ht="16.5" x14ac:dyDescent="0.4">
      <c r="A242" s="4" t="s">
        <v>92</v>
      </c>
      <c r="B242" s="70" t="s">
        <v>178</v>
      </c>
      <c r="C242" s="4" t="s">
        <v>111</v>
      </c>
      <c r="D242" s="4">
        <v>176</v>
      </c>
      <c r="E242" s="4">
        <v>130</v>
      </c>
      <c r="F242" s="5">
        <v>63789</v>
      </c>
      <c r="G242" s="5">
        <v>209686</v>
      </c>
      <c r="H242" s="6">
        <v>-145897</v>
      </c>
      <c r="I242" s="4" t="s">
        <v>101</v>
      </c>
      <c r="J242" s="5">
        <v>7298368</v>
      </c>
      <c r="K242" s="5">
        <v>63789</v>
      </c>
      <c r="L242" s="5">
        <v>13530547</v>
      </c>
      <c r="M242" s="5">
        <v>68981</v>
      </c>
      <c r="N242" s="7" t="s">
        <v>124</v>
      </c>
      <c r="O242" s="7" t="s">
        <v>583</v>
      </c>
      <c r="P242" s="11">
        <v>45369</v>
      </c>
      <c r="Q242" s="2" t="str">
        <f t="shared" si="24"/>
        <v>45369下午班本地所有</v>
      </c>
      <c r="R242" s="2">
        <f t="shared" ref="R242:S257" si="31">L242</f>
        <v>13530547</v>
      </c>
      <c r="S242" s="2">
        <f t="shared" si="31"/>
        <v>68981</v>
      </c>
      <c r="T242" s="2" t="str">
        <f t="shared" si="26"/>
        <v>45369本地所有-下午班</v>
      </c>
      <c r="U242" s="2">
        <f t="shared" si="27"/>
        <v>5.09817E-3</v>
      </c>
      <c r="V242" s="2" t="str">
        <f t="shared" si="28"/>
        <v>陈楠</v>
      </c>
    </row>
    <row r="243" spans="1:22" ht="16.5" x14ac:dyDescent="0.4">
      <c r="A243" s="4" t="s">
        <v>93</v>
      </c>
      <c r="B243" s="70" t="s">
        <v>104</v>
      </c>
      <c r="C243" s="4" t="s">
        <v>110</v>
      </c>
      <c r="D243" s="4">
        <v>163</v>
      </c>
      <c r="E243" s="4">
        <v>112</v>
      </c>
      <c r="F243" s="5">
        <v>38859</v>
      </c>
      <c r="G243" s="5">
        <v>115970</v>
      </c>
      <c r="H243" s="6">
        <v>-77111</v>
      </c>
      <c r="I243" s="4" t="s">
        <v>101</v>
      </c>
      <c r="J243" s="5">
        <v>3811104</v>
      </c>
      <c r="K243" s="5">
        <v>38859</v>
      </c>
      <c r="L243" s="5">
        <v>9550256</v>
      </c>
      <c r="M243" s="5">
        <v>42236</v>
      </c>
      <c r="N243" s="7" t="s">
        <v>113</v>
      </c>
      <c r="O243" s="7" t="s">
        <v>584</v>
      </c>
      <c r="P243" s="11">
        <v>45370</v>
      </c>
      <c r="Q243" s="2" t="str">
        <f t="shared" si="24"/>
        <v>45370早班本地一区</v>
      </c>
      <c r="R243" s="2">
        <f t="shared" si="31"/>
        <v>9550256</v>
      </c>
      <c r="S243" s="2">
        <f t="shared" si="31"/>
        <v>42236</v>
      </c>
      <c r="T243" s="2" t="str">
        <f t="shared" si="26"/>
        <v>45370本地一区-早班</v>
      </c>
      <c r="U243" s="2">
        <f t="shared" si="27"/>
        <v>4.4225000000000002E-3</v>
      </c>
      <c r="V243" s="2" t="str">
        <f t="shared" si="28"/>
        <v>赵勇</v>
      </c>
    </row>
    <row r="244" spans="1:22" ht="16.5" x14ac:dyDescent="0.4">
      <c r="A244" s="4" t="s">
        <v>93</v>
      </c>
      <c r="B244" s="70" t="s">
        <v>105</v>
      </c>
      <c r="C244" s="4" t="s">
        <v>133</v>
      </c>
      <c r="D244" s="4">
        <v>142</v>
      </c>
      <c r="E244" s="4">
        <v>99</v>
      </c>
      <c r="F244" s="5">
        <v>20163</v>
      </c>
      <c r="G244" s="5">
        <v>93717</v>
      </c>
      <c r="H244" s="6">
        <v>-73554</v>
      </c>
      <c r="I244" s="4" t="s">
        <v>101</v>
      </c>
      <c r="J244" s="5">
        <v>2666469</v>
      </c>
      <c r="K244" s="5">
        <v>20163</v>
      </c>
      <c r="L244" s="5">
        <v>5102811</v>
      </c>
      <c r="M244" s="5">
        <v>21340</v>
      </c>
      <c r="N244" s="7" t="s">
        <v>578</v>
      </c>
      <c r="O244" s="7" t="s">
        <v>585</v>
      </c>
      <c r="P244" s="11">
        <v>45370</v>
      </c>
      <c r="Q244" s="2" t="str">
        <f t="shared" si="24"/>
        <v>45370早班本地二区</v>
      </c>
      <c r="R244" s="2">
        <f t="shared" si="31"/>
        <v>5102811</v>
      </c>
      <c r="S244" s="2">
        <f t="shared" si="31"/>
        <v>21340</v>
      </c>
      <c r="T244" s="2" t="str">
        <f t="shared" si="26"/>
        <v>45370本地二区-早班</v>
      </c>
      <c r="U244" s="2">
        <f t="shared" si="27"/>
        <v>4.1820099999999999E-3</v>
      </c>
      <c r="V244" s="2" t="str">
        <f t="shared" si="28"/>
        <v>林好男</v>
      </c>
    </row>
    <row r="245" spans="1:22" ht="16.5" x14ac:dyDescent="0.4">
      <c r="A245" s="4" t="s">
        <v>92</v>
      </c>
      <c r="B245" s="70" t="s">
        <v>104</v>
      </c>
      <c r="C245" s="4" t="s">
        <v>158</v>
      </c>
      <c r="D245" s="4">
        <v>168</v>
      </c>
      <c r="E245" s="4">
        <v>104</v>
      </c>
      <c r="F245" s="5">
        <v>34980</v>
      </c>
      <c r="G245" s="5">
        <v>115970</v>
      </c>
      <c r="H245" s="6">
        <v>-80990</v>
      </c>
      <c r="I245" s="4" t="s">
        <v>101</v>
      </c>
      <c r="J245" s="5">
        <v>2420388</v>
      </c>
      <c r="K245" s="5">
        <v>34980</v>
      </c>
      <c r="L245" s="5">
        <v>5471025</v>
      </c>
      <c r="M245" s="5">
        <v>39253</v>
      </c>
      <c r="N245" s="7" t="s">
        <v>399</v>
      </c>
      <c r="O245" s="7" t="s">
        <v>586</v>
      </c>
      <c r="P245" s="11">
        <v>45370</v>
      </c>
      <c r="Q245" s="2" t="str">
        <f t="shared" si="24"/>
        <v>45370下午班本地一区</v>
      </c>
      <c r="R245" s="2">
        <f t="shared" si="31"/>
        <v>5471025</v>
      </c>
      <c r="S245" s="2">
        <f t="shared" si="31"/>
        <v>39253</v>
      </c>
      <c r="T245" s="2" t="str">
        <f t="shared" si="26"/>
        <v>45370本地一区-下午班</v>
      </c>
      <c r="U245" s="2">
        <f t="shared" si="27"/>
        <v>7.1747099999999999E-3</v>
      </c>
      <c r="V245" s="2" t="str">
        <f t="shared" si="28"/>
        <v>李晓晗</v>
      </c>
    </row>
    <row r="246" spans="1:22" ht="16.5" x14ac:dyDescent="0.4">
      <c r="A246" s="4" t="s">
        <v>92</v>
      </c>
      <c r="B246" s="70" t="s">
        <v>105</v>
      </c>
      <c r="C246" s="4" t="s">
        <v>122</v>
      </c>
      <c r="D246" s="4">
        <v>143</v>
      </c>
      <c r="E246" s="4">
        <v>105</v>
      </c>
      <c r="F246" s="5">
        <v>32032</v>
      </c>
      <c r="G246" s="5">
        <v>93717</v>
      </c>
      <c r="H246" s="6">
        <v>-61685</v>
      </c>
      <c r="I246" s="4" t="s">
        <v>101</v>
      </c>
      <c r="J246" s="5">
        <v>3389234</v>
      </c>
      <c r="K246" s="5">
        <v>32032</v>
      </c>
      <c r="L246" s="5">
        <v>6627439</v>
      </c>
      <c r="M246" s="5">
        <v>34510</v>
      </c>
      <c r="N246" s="7" t="s">
        <v>298</v>
      </c>
      <c r="O246" s="7" t="s">
        <v>587</v>
      </c>
      <c r="P246" s="11">
        <v>45370</v>
      </c>
      <c r="Q246" s="2" t="str">
        <f t="shared" si="24"/>
        <v>45370下午班本地二区</v>
      </c>
      <c r="R246" s="2">
        <f t="shared" si="31"/>
        <v>6627439</v>
      </c>
      <c r="S246" s="2">
        <f t="shared" si="31"/>
        <v>34510</v>
      </c>
      <c r="T246" s="2" t="str">
        <f t="shared" si="26"/>
        <v>45370本地二区-下午班</v>
      </c>
      <c r="U246" s="2">
        <f t="shared" si="27"/>
        <v>5.2071399999999999E-3</v>
      </c>
      <c r="V246" s="2" t="str">
        <f t="shared" si="28"/>
        <v>赵依然</v>
      </c>
    </row>
    <row r="247" spans="1:22" ht="16.5" x14ac:dyDescent="0.4">
      <c r="A247" s="4" t="s">
        <v>93</v>
      </c>
      <c r="B247" s="70" t="s">
        <v>104</v>
      </c>
      <c r="C247" s="4" t="s">
        <v>133</v>
      </c>
      <c r="D247" s="4">
        <v>187</v>
      </c>
      <c r="E247" s="4">
        <v>121</v>
      </c>
      <c r="F247" s="5">
        <v>35693</v>
      </c>
      <c r="G247" s="5">
        <v>115970</v>
      </c>
      <c r="H247" s="6">
        <v>-80277</v>
      </c>
      <c r="I247" s="4" t="s">
        <v>101</v>
      </c>
      <c r="J247" s="5">
        <v>5150701</v>
      </c>
      <c r="K247" s="5">
        <v>35693</v>
      </c>
      <c r="L247" s="5">
        <v>8967181</v>
      </c>
      <c r="M247" s="5">
        <v>38773</v>
      </c>
      <c r="N247" s="7" t="s">
        <v>467</v>
      </c>
      <c r="O247" s="7" t="s">
        <v>588</v>
      </c>
      <c r="P247" s="11">
        <v>45371</v>
      </c>
      <c r="Q247" s="2" t="str">
        <f t="shared" si="24"/>
        <v>45371早班本地一区</v>
      </c>
      <c r="R247" s="2">
        <f t="shared" si="31"/>
        <v>8967181</v>
      </c>
      <c r="S247" s="2">
        <f t="shared" si="31"/>
        <v>38773</v>
      </c>
      <c r="T247" s="2" t="str">
        <f t="shared" si="26"/>
        <v>45371本地一区-早班</v>
      </c>
      <c r="U247" s="2">
        <f t="shared" si="27"/>
        <v>4.3238800000000004E-3</v>
      </c>
      <c r="V247" s="2" t="str">
        <f t="shared" si="28"/>
        <v>林好男</v>
      </c>
    </row>
    <row r="248" spans="1:22" ht="16.5" x14ac:dyDescent="0.4">
      <c r="A248" s="4" t="s">
        <v>93</v>
      </c>
      <c r="B248" s="70" t="s">
        <v>105</v>
      </c>
      <c r="C248" s="4" t="s">
        <v>110</v>
      </c>
      <c r="D248" s="4">
        <v>186</v>
      </c>
      <c r="E248" s="4">
        <v>112</v>
      </c>
      <c r="F248" s="5">
        <v>27354</v>
      </c>
      <c r="G248" s="5">
        <v>93717</v>
      </c>
      <c r="H248" s="6">
        <v>-66363</v>
      </c>
      <c r="I248" s="4" t="s">
        <v>101</v>
      </c>
      <c r="J248" s="5">
        <v>3746270</v>
      </c>
      <c r="K248" s="5">
        <v>27354</v>
      </c>
      <c r="L248" s="5">
        <v>6649429</v>
      </c>
      <c r="M248" s="5">
        <v>29281</v>
      </c>
      <c r="N248" s="7" t="s">
        <v>185</v>
      </c>
      <c r="O248" s="7" t="s">
        <v>589</v>
      </c>
      <c r="P248" s="11">
        <v>45371</v>
      </c>
      <c r="Q248" s="2" t="str">
        <f t="shared" si="24"/>
        <v>45371早班本地二区</v>
      </c>
      <c r="R248" s="2">
        <f t="shared" si="31"/>
        <v>6649429</v>
      </c>
      <c r="S248" s="2">
        <f t="shared" si="31"/>
        <v>29281</v>
      </c>
      <c r="T248" s="2" t="str">
        <f t="shared" si="26"/>
        <v>45371本地二区-早班</v>
      </c>
      <c r="U248" s="2">
        <f t="shared" si="27"/>
        <v>4.4035400000000001E-3</v>
      </c>
      <c r="V248" s="2" t="str">
        <f t="shared" si="28"/>
        <v>赵勇</v>
      </c>
    </row>
    <row r="249" spans="1:22" ht="16.5" x14ac:dyDescent="0.4">
      <c r="A249" s="4" t="s">
        <v>92</v>
      </c>
      <c r="B249" s="70" t="s">
        <v>178</v>
      </c>
      <c r="C249" s="4" t="s">
        <v>122</v>
      </c>
      <c r="D249" s="4">
        <v>154</v>
      </c>
      <c r="E249" s="4">
        <v>112</v>
      </c>
      <c r="F249" s="5">
        <v>54471</v>
      </c>
      <c r="G249" s="5">
        <v>209686</v>
      </c>
      <c r="H249" s="6">
        <v>-155215</v>
      </c>
      <c r="I249" s="4" t="s">
        <v>101</v>
      </c>
      <c r="J249" s="5">
        <v>5977457</v>
      </c>
      <c r="K249" s="5">
        <v>54471</v>
      </c>
      <c r="L249" s="5">
        <v>10713674</v>
      </c>
      <c r="M249" s="5">
        <v>58137</v>
      </c>
      <c r="N249" s="7" t="s">
        <v>163</v>
      </c>
      <c r="O249" s="7" t="s">
        <v>590</v>
      </c>
      <c r="P249" s="11">
        <v>45371</v>
      </c>
      <c r="Q249" s="2" t="str">
        <f t="shared" si="24"/>
        <v>45371下午班本地所有</v>
      </c>
      <c r="R249" s="2">
        <f t="shared" si="31"/>
        <v>10713674</v>
      </c>
      <c r="S249" s="2">
        <f t="shared" si="31"/>
        <v>58137</v>
      </c>
      <c r="T249" s="2" t="str">
        <f t="shared" si="26"/>
        <v>45371本地所有-下午班</v>
      </c>
      <c r="U249" s="2">
        <f t="shared" si="27"/>
        <v>5.4264300000000003E-3</v>
      </c>
      <c r="V249" s="2" t="str">
        <f t="shared" si="28"/>
        <v>赵依然</v>
      </c>
    </row>
    <row r="250" spans="1:22" ht="16.5" x14ac:dyDescent="0.4">
      <c r="A250" s="4" t="s">
        <v>93</v>
      </c>
      <c r="B250" s="70" t="s">
        <v>104</v>
      </c>
      <c r="C250" s="4" t="s">
        <v>133</v>
      </c>
      <c r="D250" s="4">
        <v>190</v>
      </c>
      <c r="E250" s="4">
        <v>131</v>
      </c>
      <c r="F250" s="5">
        <v>29695</v>
      </c>
      <c r="G250" s="5">
        <v>115970</v>
      </c>
      <c r="H250" s="6">
        <v>-86275</v>
      </c>
      <c r="I250" s="4" t="s">
        <v>101</v>
      </c>
      <c r="J250" s="5">
        <v>842156</v>
      </c>
      <c r="K250" s="5">
        <v>29695</v>
      </c>
      <c r="L250" s="5">
        <v>5092654</v>
      </c>
      <c r="M250" s="5">
        <v>33419</v>
      </c>
      <c r="N250" s="7" t="s">
        <v>591</v>
      </c>
      <c r="O250" s="7" t="s">
        <v>592</v>
      </c>
      <c r="P250" s="11">
        <v>45372</v>
      </c>
      <c r="Q250" s="2" t="str">
        <f t="shared" si="24"/>
        <v>45372早班本地一区</v>
      </c>
      <c r="R250" s="2">
        <f t="shared" si="31"/>
        <v>5092654</v>
      </c>
      <c r="S250" s="2">
        <f t="shared" si="31"/>
        <v>33419</v>
      </c>
      <c r="T250" s="2" t="str">
        <f t="shared" si="26"/>
        <v>45372本地一区-早班</v>
      </c>
      <c r="U250" s="2">
        <f t="shared" si="27"/>
        <v>6.5621999999999998E-3</v>
      </c>
      <c r="V250" s="2" t="str">
        <f t="shared" si="28"/>
        <v>林好男</v>
      </c>
    </row>
    <row r="251" spans="1:22" ht="16.5" x14ac:dyDescent="0.4">
      <c r="A251" s="4" t="s">
        <v>93</v>
      </c>
      <c r="B251" s="70" t="s">
        <v>105</v>
      </c>
      <c r="C251" s="4" t="s">
        <v>111</v>
      </c>
      <c r="D251" s="4">
        <v>166</v>
      </c>
      <c r="E251" s="4">
        <v>109</v>
      </c>
      <c r="F251" s="5">
        <v>21231</v>
      </c>
      <c r="G251" s="5">
        <v>93717</v>
      </c>
      <c r="H251" s="6">
        <v>-72486</v>
      </c>
      <c r="I251" s="4" t="s">
        <v>101</v>
      </c>
      <c r="J251" s="5">
        <v>1178891</v>
      </c>
      <c r="K251" s="5">
        <v>21231</v>
      </c>
      <c r="L251" s="5">
        <v>3555947</v>
      </c>
      <c r="M251" s="5">
        <v>22137</v>
      </c>
      <c r="N251" s="7" t="s">
        <v>593</v>
      </c>
      <c r="O251" s="7" t="s">
        <v>594</v>
      </c>
      <c r="P251" s="11">
        <v>45372</v>
      </c>
      <c r="Q251" s="2" t="str">
        <f t="shared" si="24"/>
        <v>45372早班本地二区</v>
      </c>
      <c r="R251" s="2">
        <f t="shared" si="31"/>
        <v>3555947</v>
      </c>
      <c r="S251" s="2">
        <f t="shared" si="31"/>
        <v>22137</v>
      </c>
      <c r="T251" s="2" t="str">
        <f t="shared" si="26"/>
        <v>45372本地二区-早班</v>
      </c>
      <c r="U251" s="2">
        <f t="shared" si="27"/>
        <v>6.2253500000000002E-3</v>
      </c>
      <c r="V251" s="2" t="str">
        <f t="shared" si="28"/>
        <v>陈楠</v>
      </c>
    </row>
    <row r="252" spans="1:22" ht="16.5" x14ac:dyDescent="0.4">
      <c r="A252" s="4" t="s">
        <v>92</v>
      </c>
      <c r="B252" s="70" t="s">
        <v>104</v>
      </c>
      <c r="C252" s="4" t="s">
        <v>110</v>
      </c>
      <c r="D252" s="4">
        <v>175</v>
      </c>
      <c r="E252" s="4">
        <v>118</v>
      </c>
      <c r="F252" s="5">
        <v>45711</v>
      </c>
      <c r="G252" s="5">
        <v>115970</v>
      </c>
      <c r="H252" s="6">
        <v>-70259</v>
      </c>
      <c r="I252" s="4" t="s">
        <v>101</v>
      </c>
      <c r="J252" s="5">
        <v>4029818</v>
      </c>
      <c r="K252" s="5">
        <v>45711</v>
      </c>
      <c r="L252" s="5">
        <v>10918227</v>
      </c>
      <c r="M252" s="5">
        <v>56476</v>
      </c>
      <c r="N252" s="7" t="s">
        <v>488</v>
      </c>
      <c r="O252" s="7" t="s">
        <v>595</v>
      </c>
      <c r="P252" s="11">
        <v>45372</v>
      </c>
      <c r="Q252" s="2" t="str">
        <f t="shared" si="24"/>
        <v>45372下午班本地一区</v>
      </c>
      <c r="R252" s="2">
        <f t="shared" si="31"/>
        <v>10918227</v>
      </c>
      <c r="S252" s="2">
        <f t="shared" si="31"/>
        <v>56476</v>
      </c>
      <c r="T252" s="2" t="str">
        <f t="shared" si="26"/>
        <v>45372本地一区-下午班</v>
      </c>
      <c r="U252" s="2">
        <f t="shared" si="27"/>
        <v>5.1726300000000001E-3</v>
      </c>
      <c r="V252" s="2" t="str">
        <f t="shared" si="28"/>
        <v>赵勇</v>
      </c>
    </row>
    <row r="253" spans="1:22" ht="16.5" x14ac:dyDescent="0.4">
      <c r="A253" s="4" t="s">
        <v>92</v>
      </c>
      <c r="B253" s="70" t="s">
        <v>105</v>
      </c>
      <c r="C253" s="4" t="s">
        <v>122</v>
      </c>
      <c r="D253" s="4">
        <v>150</v>
      </c>
      <c r="E253" s="4">
        <v>109</v>
      </c>
      <c r="F253" s="5">
        <v>37362</v>
      </c>
      <c r="G253" s="5">
        <v>93717</v>
      </c>
      <c r="H253" s="6">
        <v>-56355</v>
      </c>
      <c r="I253" s="4" t="s">
        <v>101</v>
      </c>
      <c r="J253" s="5">
        <v>5999191</v>
      </c>
      <c r="K253" s="5">
        <v>37362</v>
      </c>
      <c r="L253" s="5">
        <v>11382270</v>
      </c>
      <c r="M253" s="5">
        <v>43654</v>
      </c>
      <c r="N253" s="7" t="s">
        <v>411</v>
      </c>
      <c r="O253" s="7" t="s">
        <v>596</v>
      </c>
      <c r="P253" s="11">
        <v>45372</v>
      </c>
      <c r="Q253" s="2" t="str">
        <f t="shared" si="24"/>
        <v>45372下午班本地二区</v>
      </c>
      <c r="R253" s="2">
        <f t="shared" si="31"/>
        <v>11382270</v>
      </c>
      <c r="S253" s="2">
        <f t="shared" si="31"/>
        <v>43654</v>
      </c>
      <c r="T253" s="2" t="str">
        <f t="shared" si="26"/>
        <v>45372本地二区-下午班</v>
      </c>
      <c r="U253" s="2">
        <f t="shared" si="27"/>
        <v>3.8352600000000001E-3</v>
      </c>
      <c r="V253" s="2" t="str">
        <f t="shared" si="28"/>
        <v>赵依然</v>
      </c>
    </row>
    <row r="254" spans="1:22" ht="16.5" x14ac:dyDescent="0.4">
      <c r="A254" s="4" t="s">
        <v>93</v>
      </c>
      <c r="B254" s="70" t="s">
        <v>104</v>
      </c>
      <c r="C254" s="4" t="s">
        <v>111</v>
      </c>
      <c r="D254" s="4">
        <v>151</v>
      </c>
      <c r="E254" s="4">
        <v>114</v>
      </c>
      <c r="F254" s="5">
        <v>36198</v>
      </c>
      <c r="G254" s="5">
        <v>115970</v>
      </c>
      <c r="H254" s="6">
        <v>-79772</v>
      </c>
      <c r="I254" s="4" t="s">
        <v>101</v>
      </c>
      <c r="J254" s="5">
        <v>4504264</v>
      </c>
      <c r="K254" s="5">
        <v>36198</v>
      </c>
      <c r="L254" s="5">
        <v>11037373</v>
      </c>
      <c r="M254" s="5">
        <v>39105</v>
      </c>
      <c r="N254" s="7" t="s">
        <v>597</v>
      </c>
      <c r="O254" s="7" t="s">
        <v>598</v>
      </c>
      <c r="P254" s="11">
        <v>45373</v>
      </c>
      <c r="Q254" s="2" t="str">
        <f t="shared" si="24"/>
        <v>45373早班本地一区</v>
      </c>
      <c r="R254" s="2">
        <f t="shared" si="31"/>
        <v>11037373</v>
      </c>
      <c r="S254" s="2">
        <f t="shared" si="31"/>
        <v>39105</v>
      </c>
      <c r="T254" s="2" t="str">
        <f t="shared" si="26"/>
        <v>45373本地一区-早班</v>
      </c>
      <c r="U254" s="2">
        <f t="shared" si="27"/>
        <v>3.5429599999999999E-3</v>
      </c>
      <c r="V254" s="2" t="str">
        <f t="shared" si="28"/>
        <v>陈楠</v>
      </c>
    </row>
    <row r="255" spans="1:22" ht="16.5" x14ac:dyDescent="0.4">
      <c r="A255" s="4" t="s">
        <v>93</v>
      </c>
      <c r="B255" s="70" t="s">
        <v>105</v>
      </c>
      <c r="C255" s="4" t="s">
        <v>133</v>
      </c>
      <c r="D255" s="4">
        <v>149</v>
      </c>
      <c r="E255" s="4">
        <v>114</v>
      </c>
      <c r="F255" s="5">
        <v>30138</v>
      </c>
      <c r="G255" s="5">
        <v>93717</v>
      </c>
      <c r="H255" s="6">
        <v>-63579</v>
      </c>
      <c r="I255" s="4" t="s">
        <v>101</v>
      </c>
      <c r="J255" s="5">
        <v>4124457</v>
      </c>
      <c r="K255" s="5">
        <v>30138</v>
      </c>
      <c r="L255" s="5">
        <v>10193424</v>
      </c>
      <c r="M255" s="5">
        <v>32899</v>
      </c>
      <c r="N255" s="7" t="s">
        <v>185</v>
      </c>
      <c r="O255" s="7" t="s">
        <v>599</v>
      </c>
      <c r="P255" s="11">
        <v>45373</v>
      </c>
      <c r="Q255" s="2" t="str">
        <f t="shared" si="24"/>
        <v>45373早班本地二区</v>
      </c>
      <c r="R255" s="2">
        <f t="shared" si="31"/>
        <v>10193424</v>
      </c>
      <c r="S255" s="2">
        <f t="shared" si="31"/>
        <v>32899</v>
      </c>
      <c r="T255" s="2" t="str">
        <f t="shared" si="26"/>
        <v>45373本地二区-早班</v>
      </c>
      <c r="U255" s="2">
        <f t="shared" si="27"/>
        <v>3.2274700000000001E-3</v>
      </c>
      <c r="V255" s="2" t="str">
        <f t="shared" si="28"/>
        <v>林好男</v>
      </c>
    </row>
    <row r="256" spans="1:22" ht="16.5" x14ac:dyDescent="0.4">
      <c r="A256" s="4" t="s">
        <v>92</v>
      </c>
      <c r="B256" s="70" t="s">
        <v>178</v>
      </c>
      <c r="C256" s="4" t="s">
        <v>158</v>
      </c>
      <c r="D256" s="4">
        <v>193</v>
      </c>
      <c r="E256" s="4">
        <v>122</v>
      </c>
      <c r="F256" s="5">
        <v>48463</v>
      </c>
      <c r="G256" s="5">
        <v>209686</v>
      </c>
      <c r="H256" s="6">
        <v>-161223</v>
      </c>
      <c r="I256" s="4" t="s">
        <v>101</v>
      </c>
      <c r="J256" s="5">
        <v>5075251</v>
      </c>
      <c r="K256" s="5">
        <v>48463</v>
      </c>
      <c r="L256" s="5">
        <v>8109185</v>
      </c>
      <c r="M256" s="5">
        <v>50918</v>
      </c>
      <c r="N256" s="7" t="s">
        <v>298</v>
      </c>
      <c r="O256" s="7" t="s">
        <v>600</v>
      </c>
      <c r="P256" s="11">
        <v>45373</v>
      </c>
      <c r="Q256" s="2" t="str">
        <f t="shared" si="24"/>
        <v>45373下午班本地所有</v>
      </c>
      <c r="R256" s="2">
        <f t="shared" si="31"/>
        <v>8109185</v>
      </c>
      <c r="S256" s="2">
        <f t="shared" si="31"/>
        <v>50918</v>
      </c>
      <c r="T256" s="2" t="str">
        <f t="shared" si="26"/>
        <v>45373本地所有-下午班</v>
      </c>
      <c r="U256" s="2">
        <f t="shared" si="27"/>
        <v>6.2790500000000004E-3</v>
      </c>
      <c r="V256" s="2" t="str">
        <f t="shared" si="28"/>
        <v>李晓晗</v>
      </c>
    </row>
    <row r="257" spans="1:22" ht="16.5" x14ac:dyDescent="0.4">
      <c r="A257" s="4" t="s">
        <v>93</v>
      </c>
      <c r="B257" s="70" t="s">
        <v>104</v>
      </c>
      <c r="C257" s="4" t="s">
        <v>111</v>
      </c>
      <c r="D257" s="4">
        <v>156</v>
      </c>
      <c r="E257" s="4">
        <v>106</v>
      </c>
      <c r="F257" s="5">
        <v>23805</v>
      </c>
      <c r="G257" s="5">
        <v>115970</v>
      </c>
      <c r="H257" s="6">
        <v>-92165</v>
      </c>
      <c r="I257" s="4" t="s">
        <v>101</v>
      </c>
      <c r="J257" s="5">
        <v>3223385</v>
      </c>
      <c r="K257" s="5">
        <v>23805</v>
      </c>
      <c r="L257" s="5">
        <v>6627645</v>
      </c>
      <c r="M257" s="5">
        <v>25420</v>
      </c>
      <c r="N257" s="7" t="s">
        <v>438</v>
      </c>
      <c r="O257" s="7" t="s">
        <v>602</v>
      </c>
      <c r="P257" s="11">
        <v>45374</v>
      </c>
      <c r="Q257" s="2" t="str">
        <f t="shared" si="24"/>
        <v>45374早班本地一区</v>
      </c>
      <c r="R257" s="2">
        <f t="shared" si="31"/>
        <v>6627645</v>
      </c>
      <c r="S257" s="2">
        <f t="shared" si="31"/>
        <v>25420</v>
      </c>
      <c r="T257" s="2" t="str">
        <f t="shared" si="26"/>
        <v>45374本地一区-早班</v>
      </c>
      <c r="U257" s="2">
        <f t="shared" si="27"/>
        <v>3.8354499999999998E-3</v>
      </c>
      <c r="V257" s="2" t="str">
        <f t="shared" si="28"/>
        <v>陈楠</v>
      </c>
    </row>
    <row r="258" spans="1:22" ht="16.5" x14ac:dyDescent="0.4">
      <c r="A258" s="4" t="s">
        <v>93</v>
      </c>
      <c r="B258" s="70" t="s">
        <v>105</v>
      </c>
      <c r="C258" s="4" t="s">
        <v>133</v>
      </c>
      <c r="D258" s="4">
        <v>169</v>
      </c>
      <c r="E258" s="4">
        <v>112</v>
      </c>
      <c r="F258" s="5">
        <v>19675</v>
      </c>
      <c r="G258" s="5">
        <v>93717</v>
      </c>
      <c r="H258" s="6">
        <v>-74042</v>
      </c>
      <c r="I258" s="4" t="s">
        <v>101</v>
      </c>
      <c r="J258" s="5">
        <v>2681270</v>
      </c>
      <c r="K258" s="5">
        <v>19675</v>
      </c>
      <c r="L258" s="5">
        <v>5317831</v>
      </c>
      <c r="M258" s="5">
        <v>21321</v>
      </c>
      <c r="N258" s="7" t="s">
        <v>185</v>
      </c>
      <c r="O258" s="7" t="s">
        <v>603</v>
      </c>
      <c r="P258" s="11">
        <v>45374</v>
      </c>
      <c r="Q258" s="2" t="str">
        <f t="shared" ref="Q258:Q321" si="32">P258&amp;A258&amp;B258</f>
        <v>45374早班本地二区</v>
      </c>
      <c r="R258" s="2">
        <f t="shared" ref="R258:S273" si="33">L258</f>
        <v>5317831</v>
      </c>
      <c r="S258" s="2">
        <f t="shared" si="33"/>
        <v>21321</v>
      </c>
      <c r="T258" s="2" t="str">
        <f t="shared" ref="T258:T321" si="34">P258&amp;B258&amp;"-"&amp;A258</f>
        <v>45374本地二区-早班</v>
      </c>
      <c r="U258" s="2">
        <f t="shared" ref="U258:U321" si="35">O258*1</f>
        <v>4.0093400000000001E-3</v>
      </c>
      <c r="V258" s="2" t="str">
        <f t="shared" ref="V258:V321" si="36">C258</f>
        <v>林好男</v>
      </c>
    </row>
    <row r="259" spans="1:22" ht="16.5" x14ac:dyDescent="0.4">
      <c r="A259" s="4" t="s">
        <v>92</v>
      </c>
      <c r="B259" s="70" t="s">
        <v>178</v>
      </c>
      <c r="C259" s="4" t="s">
        <v>158</v>
      </c>
      <c r="D259" s="4">
        <v>174</v>
      </c>
      <c r="E259" s="4">
        <v>102</v>
      </c>
      <c r="F259" s="5">
        <v>53146</v>
      </c>
      <c r="G259" s="5">
        <v>209686</v>
      </c>
      <c r="H259" s="6">
        <v>-156540</v>
      </c>
      <c r="I259" s="4" t="s">
        <v>101</v>
      </c>
      <c r="J259" s="5">
        <v>5027019</v>
      </c>
      <c r="K259" s="5">
        <v>53146</v>
      </c>
      <c r="L259" s="5">
        <v>8695521</v>
      </c>
      <c r="M259" s="5">
        <v>56868</v>
      </c>
      <c r="N259" s="7" t="s">
        <v>601</v>
      </c>
      <c r="O259" s="7" t="s">
        <v>604</v>
      </c>
      <c r="P259" s="11">
        <v>45374</v>
      </c>
      <c r="Q259" s="2" t="str">
        <f t="shared" si="32"/>
        <v>45374下午班本地所有</v>
      </c>
      <c r="R259" s="2">
        <f t="shared" si="33"/>
        <v>8695521</v>
      </c>
      <c r="S259" s="2">
        <f t="shared" si="33"/>
        <v>56868</v>
      </c>
      <c r="T259" s="2" t="str">
        <f t="shared" si="34"/>
        <v>45374本地所有-下午班</v>
      </c>
      <c r="U259" s="2">
        <f t="shared" si="35"/>
        <v>6.5399200000000003E-3</v>
      </c>
      <c r="V259" s="2" t="str">
        <f t="shared" si="36"/>
        <v>李晓晗</v>
      </c>
    </row>
    <row r="260" spans="1:22" ht="16.5" x14ac:dyDescent="0.4">
      <c r="A260" s="4" t="s">
        <v>93</v>
      </c>
      <c r="B260" s="70" t="s">
        <v>178</v>
      </c>
      <c r="C260" s="4" t="s">
        <v>110</v>
      </c>
      <c r="D260" s="4">
        <v>206</v>
      </c>
      <c r="E260" s="4">
        <v>140</v>
      </c>
      <c r="F260" s="5">
        <v>32528</v>
      </c>
      <c r="G260" s="5">
        <v>209686</v>
      </c>
      <c r="H260" s="6">
        <v>-177158</v>
      </c>
      <c r="I260" s="4" t="s">
        <v>101</v>
      </c>
      <c r="J260" s="5">
        <v>2756090</v>
      </c>
      <c r="K260" s="5">
        <v>32528</v>
      </c>
      <c r="L260" s="5">
        <v>6866694</v>
      </c>
      <c r="M260" s="5">
        <v>34268</v>
      </c>
      <c r="N260" s="7" t="s">
        <v>129</v>
      </c>
      <c r="O260" s="7" t="s">
        <v>605</v>
      </c>
      <c r="P260" s="11">
        <v>45375</v>
      </c>
      <c r="Q260" s="2" t="str">
        <f t="shared" si="32"/>
        <v>45375早班本地所有</v>
      </c>
      <c r="R260" s="2">
        <f t="shared" si="33"/>
        <v>6866694</v>
      </c>
      <c r="S260" s="2">
        <f t="shared" si="33"/>
        <v>34268</v>
      </c>
      <c r="T260" s="2" t="str">
        <f t="shared" si="34"/>
        <v>45375本地所有-早班</v>
      </c>
      <c r="U260" s="2">
        <f t="shared" si="35"/>
        <v>4.9904700000000003E-3</v>
      </c>
      <c r="V260" s="2" t="str">
        <f t="shared" si="36"/>
        <v>赵勇</v>
      </c>
    </row>
    <row r="261" spans="1:22" ht="16.5" x14ac:dyDescent="0.4">
      <c r="A261" s="4" t="s">
        <v>92</v>
      </c>
      <c r="B261" s="70" t="s">
        <v>104</v>
      </c>
      <c r="C261" s="4" t="s">
        <v>122</v>
      </c>
      <c r="D261" s="4">
        <v>168</v>
      </c>
      <c r="E261" s="4">
        <v>101</v>
      </c>
      <c r="F261" s="5">
        <v>36311</v>
      </c>
      <c r="G261" s="5">
        <v>115970</v>
      </c>
      <c r="H261" s="6">
        <v>-79659</v>
      </c>
      <c r="I261" s="4" t="s">
        <v>101</v>
      </c>
      <c r="J261" s="5">
        <v>5735635</v>
      </c>
      <c r="K261" s="5">
        <v>36311</v>
      </c>
      <c r="L261" s="5">
        <v>9912630</v>
      </c>
      <c r="M261" s="5">
        <v>40017</v>
      </c>
      <c r="N261" s="7" t="s">
        <v>389</v>
      </c>
      <c r="O261" s="7" t="s">
        <v>606</v>
      </c>
      <c r="P261" s="11">
        <v>45375</v>
      </c>
      <c r="Q261" s="2" t="str">
        <f t="shared" si="32"/>
        <v>45375下午班本地一区</v>
      </c>
      <c r="R261" s="2">
        <f t="shared" si="33"/>
        <v>9912630</v>
      </c>
      <c r="S261" s="2">
        <f t="shared" si="33"/>
        <v>40017</v>
      </c>
      <c r="T261" s="2" t="str">
        <f t="shared" si="34"/>
        <v>45375本地一区-下午班</v>
      </c>
      <c r="U261" s="2">
        <f t="shared" si="35"/>
        <v>4.03697E-3</v>
      </c>
      <c r="V261" s="2" t="str">
        <f t="shared" si="36"/>
        <v>赵依然</v>
      </c>
    </row>
    <row r="262" spans="1:22" ht="16.5" x14ac:dyDescent="0.4">
      <c r="A262" s="4" t="s">
        <v>92</v>
      </c>
      <c r="B262" s="70" t="s">
        <v>105</v>
      </c>
      <c r="C262" s="4" t="s">
        <v>158</v>
      </c>
      <c r="D262" s="4">
        <v>169</v>
      </c>
      <c r="E262" s="4">
        <v>105</v>
      </c>
      <c r="F262" s="5">
        <v>30621</v>
      </c>
      <c r="G262" s="5">
        <v>93717</v>
      </c>
      <c r="H262" s="6">
        <v>-63096</v>
      </c>
      <c r="I262" s="4" t="s">
        <v>101</v>
      </c>
      <c r="J262" s="5">
        <v>2560934</v>
      </c>
      <c r="K262" s="5">
        <v>30621</v>
      </c>
      <c r="L262" s="5">
        <v>4867120</v>
      </c>
      <c r="M262" s="5">
        <v>33172</v>
      </c>
      <c r="N262" s="7" t="s">
        <v>607</v>
      </c>
      <c r="O262" s="7" t="s">
        <v>608</v>
      </c>
      <c r="P262" s="11">
        <v>45375</v>
      </c>
      <c r="Q262" s="2" t="str">
        <f t="shared" si="32"/>
        <v>45375下午班本地二区</v>
      </c>
      <c r="R262" s="2">
        <f t="shared" si="33"/>
        <v>4867120</v>
      </c>
      <c r="S262" s="2">
        <f t="shared" si="33"/>
        <v>33172</v>
      </c>
      <c r="T262" s="2" t="str">
        <f t="shared" si="34"/>
        <v>45375本地二区-下午班</v>
      </c>
      <c r="U262" s="2">
        <f t="shared" si="35"/>
        <v>6.8155300000000002E-3</v>
      </c>
      <c r="V262" s="2" t="str">
        <f t="shared" si="36"/>
        <v>李晓晗</v>
      </c>
    </row>
    <row r="263" spans="1:22" ht="16.5" x14ac:dyDescent="0.4">
      <c r="A263" s="4" t="s">
        <v>93</v>
      </c>
      <c r="B263" s="70" t="s">
        <v>104</v>
      </c>
      <c r="C263" s="4" t="s">
        <v>110</v>
      </c>
      <c r="D263" s="4">
        <v>165</v>
      </c>
      <c r="E263" s="4">
        <v>107</v>
      </c>
      <c r="F263" s="5">
        <v>34960</v>
      </c>
      <c r="G263" s="5">
        <v>115970</v>
      </c>
      <c r="H263" s="6">
        <v>-81010</v>
      </c>
      <c r="I263" s="4" t="s">
        <v>101</v>
      </c>
      <c r="J263" s="5">
        <v>4390474</v>
      </c>
      <c r="K263" s="5">
        <v>34960</v>
      </c>
      <c r="L263" s="5">
        <v>8449743</v>
      </c>
      <c r="M263" s="5">
        <v>37445</v>
      </c>
      <c r="N263" s="7" t="s">
        <v>597</v>
      </c>
      <c r="O263" s="7" t="s">
        <v>609</v>
      </c>
      <c r="P263" s="11">
        <v>45376</v>
      </c>
      <c r="Q263" s="2" t="str">
        <f t="shared" si="32"/>
        <v>45376早班本地一区</v>
      </c>
      <c r="R263" s="2">
        <f t="shared" si="33"/>
        <v>8449743</v>
      </c>
      <c r="S263" s="2">
        <f t="shared" si="33"/>
        <v>37445</v>
      </c>
      <c r="T263" s="2" t="str">
        <f t="shared" si="34"/>
        <v>45376本地一区-早班</v>
      </c>
      <c r="U263" s="2">
        <f t="shared" si="35"/>
        <v>4.4314999999999997E-3</v>
      </c>
      <c r="V263" s="2" t="str">
        <f t="shared" si="36"/>
        <v>赵勇</v>
      </c>
    </row>
    <row r="264" spans="1:22" ht="16.5" x14ac:dyDescent="0.4">
      <c r="A264" s="4" t="s">
        <v>93</v>
      </c>
      <c r="B264" s="70" t="s">
        <v>105</v>
      </c>
      <c r="C264" s="4" t="s">
        <v>111</v>
      </c>
      <c r="D264" s="4">
        <v>154</v>
      </c>
      <c r="E264" s="4">
        <v>108</v>
      </c>
      <c r="F264" s="5">
        <v>30686</v>
      </c>
      <c r="G264" s="5">
        <v>93717</v>
      </c>
      <c r="H264" s="6">
        <v>-63031</v>
      </c>
      <c r="I264" s="4" t="s">
        <v>101</v>
      </c>
      <c r="J264" s="5">
        <v>6949499</v>
      </c>
      <c r="K264" s="5">
        <v>30686</v>
      </c>
      <c r="L264" s="5">
        <v>9894845</v>
      </c>
      <c r="M264" s="5">
        <v>31351</v>
      </c>
      <c r="N264" s="7" t="s">
        <v>610</v>
      </c>
      <c r="O264" s="7" t="s">
        <v>611</v>
      </c>
      <c r="P264" s="11">
        <v>45376</v>
      </c>
      <c r="Q264" s="2" t="str">
        <f t="shared" si="32"/>
        <v>45376早班本地二区</v>
      </c>
      <c r="R264" s="2">
        <f t="shared" si="33"/>
        <v>9894845</v>
      </c>
      <c r="S264" s="2">
        <f t="shared" si="33"/>
        <v>31351</v>
      </c>
      <c r="T264" s="2" t="str">
        <f t="shared" si="34"/>
        <v>45376本地二区-早班</v>
      </c>
      <c r="U264" s="2">
        <f t="shared" si="35"/>
        <v>3.1684199999999999E-3</v>
      </c>
      <c r="V264" s="2" t="str">
        <f t="shared" si="36"/>
        <v>陈楠</v>
      </c>
    </row>
    <row r="265" spans="1:22" ht="16.5" x14ac:dyDescent="0.4">
      <c r="A265" s="4" t="s">
        <v>92</v>
      </c>
      <c r="B265" s="70" t="s">
        <v>104</v>
      </c>
      <c r="C265" s="4" t="s">
        <v>158</v>
      </c>
      <c r="D265" s="4">
        <v>176</v>
      </c>
      <c r="E265" s="4">
        <v>108</v>
      </c>
      <c r="F265" s="5">
        <v>36691</v>
      </c>
      <c r="G265" s="5">
        <v>115970</v>
      </c>
      <c r="H265" s="6">
        <v>-79279</v>
      </c>
      <c r="I265" s="4" t="s">
        <v>101</v>
      </c>
      <c r="J265" s="5">
        <v>2906534</v>
      </c>
      <c r="K265" s="5">
        <v>36691</v>
      </c>
      <c r="L265" s="5">
        <v>5831106</v>
      </c>
      <c r="M265" s="5">
        <v>39583</v>
      </c>
      <c r="N265" s="7" t="s">
        <v>612</v>
      </c>
      <c r="O265" s="7" t="s">
        <v>613</v>
      </c>
      <c r="P265" s="11">
        <v>45376</v>
      </c>
      <c r="Q265" s="2" t="str">
        <f t="shared" si="32"/>
        <v>45376下午班本地一区</v>
      </c>
      <c r="R265" s="2">
        <f t="shared" si="33"/>
        <v>5831106</v>
      </c>
      <c r="S265" s="2">
        <f t="shared" si="33"/>
        <v>39583</v>
      </c>
      <c r="T265" s="2" t="str">
        <f t="shared" si="34"/>
        <v>45376本地一区-下午班</v>
      </c>
      <c r="U265" s="2">
        <f t="shared" si="35"/>
        <v>6.78825E-3</v>
      </c>
      <c r="V265" s="2" t="str">
        <f t="shared" si="36"/>
        <v>李晓晗</v>
      </c>
    </row>
    <row r="266" spans="1:22" ht="16.5" x14ac:dyDescent="0.4">
      <c r="A266" s="4" t="s">
        <v>92</v>
      </c>
      <c r="B266" s="70" t="s">
        <v>105</v>
      </c>
      <c r="C266" s="4" t="s">
        <v>122</v>
      </c>
      <c r="D266" s="4">
        <v>158</v>
      </c>
      <c r="E266" s="4">
        <v>102</v>
      </c>
      <c r="F266" s="5">
        <v>30856</v>
      </c>
      <c r="G266" s="5">
        <v>93717</v>
      </c>
      <c r="H266" s="6">
        <v>-62861</v>
      </c>
      <c r="I266" s="4" t="s">
        <v>101</v>
      </c>
      <c r="J266" s="5">
        <v>3366022</v>
      </c>
      <c r="K266" s="5">
        <v>30856</v>
      </c>
      <c r="L266" s="5">
        <v>5656247</v>
      </c>
      <c r="M266" s="5">
        <v>33640</v>
      </c>
      <c r="N266" s="7" t="s">
        <v>167</v>
      </c>
      <c r="O266" s="7" t="s">
        <v>614</v>
      </c>
      <c r="P266" s="11">
        <v>45376</v>
      </c>
      <c r="Q266" s="2" t="str">
        <f t="shared" si="32"/>
        <v>45376下午班本地二区</v>
      </c>
      <c r="R266" s="2">
        <f t="shared" si="33"/>
        <v>5656247</v>
      </c>
      <c r="S266" s="2">
        <f t="shared" si="33"/>
        <v>33640</v>
      </c>
      <c r="T266" s="2" t="str">
        <f t="shared" si="34"/>
        <v>45376本地二区-下午班</v>
      </c>
      <c r="U266" s="2">
        <f t="shared" si="35"/>
        <v>5.9474100000000002E-3</v>
      </c>
      <c r="V266" s="2" t="str">
        <f t="shared" si="36"/>
        <v>赵依然</v>
      </c>
    </row>
    <row r="267" spans="1:22" ht="16.5" x14ac:dyDescent="0.4">
      <c r="A267" s="4" t="s">
        <v>93</v>
      </c>
      <c r="B267" s="70" t="s">
        <v>104</v>
      </c>
      <c r="C267" s="4" t="s">
        <v>110</v>
      </c>
      <c r="D267" s="4">
        <v>163</v>
      </c>
      <c r="E267" s="4">
        <v>123</v>
      </c>
      <c r="F267" s="5">
        <v>34858</v>
      </c>
      <c r="G267" s="5">
        <v>115970</v>
      </c>
      <c r="H267" s="6">
        <v>-81112</v>
      </c>
      <c r="I267" s="4" t="s">
        <v>101</v>
      </c>
      <c r="J267" s="5">
        <v>4105111</v>
      </c>
      <c r="K267" s="5">
        <v>34858</v>
      </c>
      <c r="L267" s="5">
        <v>8425574</v>
      </c>
      <c r="M267" s="5">
        <v>37501</v>
      </c>
      <c r="N267" s="7" t="s">
        <v>364</v>
      </c>
      <c r="O267" s="7" t="s">
        <v>615</v>
      </c>
      <c r="P267" s="11">
        <v>45377</v>
      </c>
      <c r="Q267" s="2" t="str">
        <f t="shared" si="32"/>
        <v>45377早班本地一区</v>
      </c>
      <c r="R267" s="2">
        <f t="shared" si="33"/>
        <v>8425574</v>
      </c>
      <c r="S267" s="2">
        <f t="shared" si="33"/>
        <v>37501</v>
      </c>
      <c r="T267" s="2" t="str">
        <f t="shared" si="34"/>
        <v>45377本地一区-早班</v>
      </c>
      <c r="U267" s="2">
        <f t="shared" si="35"/>
        <v>4.4508500000000001E-3</v>
      </c>
      <c r="V267" s="2" t="str">
        <f t="shared" si="36"/>
        <v>赵勇</v>
      </c>
    </row>
    <row r="268" spans="1:22" ht="16.5" x14ac:dyDescent="0.4">
      <c r="A268" s="4" t="s">
        <v>93</v>
      </c>
      <c r="B268" s="70" t="s">
        <v>105</v>
      </c>
      <c r="C268" s="4" t="s">
        <v>111</v>
      </c>
      <c r="D268" s="4">
        <v>157</v>
      </c>
      <c r="E268" s="4">
        <v>102</v>
      </c>
      <c r="F268" s="5">
        <v>28139</v>
      </c>
      <c r="G268" s="5">
        <v>93717</v>
      </c>
      <c r="H268" s="6">
        <v>-65578</v>
      </c>
      <c r="I268" s="4" t="s">
        <v>101</v>
      </c>
      <c r="J268" s="5">
        <v>5095386</v>
      </c>
      <c r="K268" s="5">
        <v>28139</v>
      </c>
      <c r="L268" s="5">
        <v>7457723</v>
      </c>
      <c r="M268" s="5">
        <v>29078</v>
      </c>
      <c r="N268" s="7" t="s">
        <v>458</v>
      </c>
      <c r="O268" s="7" t="s">
        <v>616</v>
      </c>
      <c r="P268" s="11">
        <v>45377</v>
      </c>
      <c r="Q268" s="2" t="str">
        <f t="shared" si="32"/>
        <v>45377早班本地二区</v>
      </c>
      <c r="R268" s="2">
        <f t="shared" si="33"/>
        <v>7457723</v>
      </c>
      <c r="S268" s="2">
        <f t="shared" si="33"/>
        <v>29078</v>
      </c>
      <c r="T268" s="2" t="str">
        <f t="shared" si="34"/>
        <v>45377本地二区-早班</v>
      </c>
      <c r="U268" s="2">
        <f t="shared" si="35"/>
        <v>3.8990499999999998E-3</v>
      </c>
      <c r="V268" s="2" t="str">
        <f t="shared" si="36"/>
        <v>陈楠</v>
      </c>
    </row>
    <row r="269" spans="1:22" ht="16.5" x14ac:dyDescent="0.4">
      <c r="A269" s="4" t="s">
        <v>92</v>
      </c>
      <c r="B269" s="70" t="s">
        <v>178</v>
      </c>
      <c r="C269" s="4" t="s">
        <v>122</v>
      </c>
      <c r="D269" s="4">
        <v>201</v>
      </c>
      <c r="E269" s="4">
        <v>121</v>
      </c>
      <c r="F269" s="5">
        <v>47428</v>
      </c>
      <c r="G269" s="5">
        <v>209686</v>
      </c>
      <c r="H269" s="6">
        <v>-162258</v>
      </c>
      <c r="I269" s="4" t="s">
        <v>101</v>
      </c>
      <c r="J269" s="5">
        <v>6494604</v>
      </c>
      <c r="K269" s="5">
        <v>47428</v>
      </c>
      <c r="L269" s="5">
        <v>11147556</v>
      </c>
      <c r="M269" s="5">
        <v>50772</v>
      </c>
      <c r="N269" s="7" t="s">
        <v>185</v>
      </c>
      <c r="O269" s="7" t="s">
        <v>617</v>
      </c>
      <c r="P269" s="11">
        <v>45377</v>
      </c>
      <c r="Q269" s="2" t="str">
        <f t="shared" si="32"/>
        <v>45377下午班本地所有</v>
      </c>
      <c r="R269" s="2">
        <f t="shared" si="33"/>
        <v>11147556</v>
      </c>
      <c r="S269" s="2">
        <f t="shared" si="33"/>
        <v>50772</v>
      </c>
      <c r="T269" s="2" t="str">
        <f t="shared" si="34"/>
        <v>45377本地所有-下午班</v>
      </c>
      <c r="U269" s="2">
        <f t="shared" si="35"/>
        <v>4.5545400000000002E-3</v>
      </c>
      <c r="V269" s="2" t="str">
        <f t="shared" si="36"/>
        <v>赵依然</v>
      </c>
    </row>
    <row r="270" spans="1:22" ht="16.5" x14ac:dyDescent="0.4">
      <c r="A270" s="4" t="s">
        <v>93</v>
      </c>
      <c r="B270" s="70" t="s">
        <v>104</v>
      </c>
      <c r="C270" s="4" t="s">
        <v>133</v>
      </c>
      <c r="D270" s="4">
        <v>183</v>
      </c>
      <c r="E270" s="4">
        <v>124</v>
      </c>
      <c r="F270" s="5">
        <v>33416</v>
      </c>
      <c r="G270" s="5">
        <v>115970</v>
      </c>
      <c r="H270" s="6">
        <v>-82554</v>
      </c>
      <c r="I270" s="4" t="s">
        <v>101</v>
      </c>
      <c r="J270" s="5">
        <v>1238122</v>
      </c>
      <c r="K270" s="5">
        <v>33416</v>
      </c>
      <c r="L270" s="5">
        <v>5524565</v>
      </c>
      <c r="M270" s="5">
        <v>37289</v>
      </c>
      <c r="N270" s="7" t="s">
        <v>618</v>
      </c>
      <c r="O270" s="7" t="s">
        <v>619</v>
      </c>
      <c r="P270" s="11">
        <v>45378</v>
      </c>
      <c r="Q270" s="2" t="str">
        <f t="shared" si="32"/>
        <v>45378早班本地一区</v>
      </c>
      <c r="R270" s="2">
        <f t="shared" si="33"/>
        <v>5524565</v>
      </c>
      <c r="S270" s="2">
        <f t="shared" si="33"/>
        <v>37289</v>
      </c>
      <c r="T270" s="2" t="str">
        <f t="shared" si="34"/>
        <v>45378本地一区-早班</v>
      </c>
      <c r="U270" s="2">
        <f t="shared" si="35"/>
        <v>6.7496700000000001E-3</v>
      </c>
      <c r="V270" s="2" t="str">
        <f t="shared" si="36"/>
        <v>林好男</v>
      </c>
    </row>
    <row r="271" spans="1:22" ht="16.5" x14ac:dyDescent="0.4">
      <c r="A271" s="4" t="s">
        <v>93</v>
      </c>
      <c r="B271" s="70" t="s">
        <v>105</v>
      </c>
      <c r="C271" s="4" t="s">
        <v>110</v>
      </c>
      <c r="D271" s="4">
        <v>194</v>
      </c>
      <c r="E271" s="4">
        <v>136</v>
      </c>
      <c r="F271" s="5">
        <v>26349</v>
      </c>
      <c r="G271" s="5">
        <v>93717</v>
      </c>
      <c r="H271" s="6">
        <v>-67368</v>
      </c>
      <c r="I271" s="4" t="s">
        <v>101</v>
      </c>
      <c r="J271" s="5">
        <v>2380720</v>
      </c>
      <c r="K271" s="5">
        <v>26349</v>
      </c>
      <c r="L271" s="5">
        <v>5641947</v>
      </c>
      <c r="M271" s="5">
        <v>28543</v>
      </c>
      <c r="N271" s="7" t="s">
        <v>307</v>
      </c>
      <c r="O271" s="7" t="s">
        <v>620</v>
      </c>
      <c r="P271" s="11">
        <v>45378</v>
      </c>
      <c r="Q271" s="2" t="str">
        <f t="shared" si="32"/>
        <v>45378早班本地二区</v>
      </c>
      <c r="R271" s="2">
        <f t="shared" si="33"/>
        <v>5641947</v>
      </c>
      <c r="S271" s="2">
        <f t="shared" si="33"/>
        <v>28543</v>
      </c>
      <c r="T271" s="2" t="str">
        <f t="shared" si="34"/>
        <v>45378本地二区-早班</v>
      </c>
      <c r="U271" s="2">
        <f t="shared" si="35"/>
        <v>5.0590699999999997E-3</v>
      </c>
      <c r="V271" s="2" t="str">
        <f t="shared" si="36"/>
        <v>赵勇</v>
      </c>
    </row>
    <row r="272" spans="1:22" ht="16.5" x14ac:dyDescent="0.4">
      <c r="A272" s="4" t="s">
        <v>92</v>
      </c>
      <c r="B272" s="70" t="s">
        <v>104</v>
      </c>
      <c r="C272" s="4" t="s">
        <v>158</v>
      </c>
      <c r="D272" s="4">
        <v>188</v>
      </c>
      <c r="E272" s="4">
        <v>104</v>
      </c>
      <c r="F272" s="5">
        <v>38850</v>
      </c>
      <c r="G272" s="5">
        <v>115970</v>
      </c>
      <c r="H272" s="6">
        <v>-77120</v>
      </c>
      <c r="I272" s="4" t="s">
        <v>101</v>
      </c>
      <c r="J272" s="5">
        <v>2794216</v>
      </c>
      <c r="K272" s="5">
        <v>38850</v>
      </c>
      <c r="L272" s="5">
        <v>5708505</v>
      </c>
      <c r="M272" s="5">
        <v>42354</v>
      </c>
      <c r="N272" s="7" t="s">
        <v>327</v>
      </c>
      <c r="O272" s="7" t="s">
        <v>621</v>
      </c>
      <c r="P272" s="11">
        <v>45378</v>
      </c>
      <c r="Q272" s="2" t="str">
        <f t="shared" si="32"/>
        <v>45378下午班本地一区</v>
      </c>
      <c r="R272" s="2">
        <f t="shared" si="33"/>
        <v>5708505</v>
      </c>
      <c r="S272" s="2">
        <f t="shared" si="33"/>
        <v>42354</v>
      </c>
      <c r="T272" s="2" t="str">
        <f t="shared" si="34"/>
        <v>45378本地一区-下午班</v>
      </c>
      <c r="U272" s="2">
        <f t="shared" si="35"/>
        <v>7.4194600000000001E-3</v>
      </c>
      <c r="V272" s="2" t="str">
        <f t="shared" si="36"/>
        <v>李晓晗</v>
      </c>
    </row>
    <row r="273" spans="1:22" ht="16.5" x14ac:dyDescent="0.4">
      <c r="A273" s="4" t="s">
        <v>92</v>
      </c>
      <c r="B273" s="70" t="s">
        <v>105</v>
      </c>
      <c r="C273" s="4" t="s">
        <v>122</v>
      </c>
      <c r="D273" s="4">
        <v>161</v>
      </c>
      <c r="E273" s="4">
        <v>101</v>
      </c>
      <c r="F273" s="5">
        <v>41534</v>
      </c>
      <c r="G273" s="5">
        <v>93717</v>
      </c>
      <c r="H273" s="6">
        <v>-52183</v>
      </c>
      <c r="I273" s="4" t="s">
        <v>101</v>
      </c>
      <c r="J273" s="5">
        <v>6234290</v>
      </c>
      <c r="K273" s="5">
        <v>41534</v>
      </c>
      <c r="L273" s="5">
        <v>9815973</v>
      </c>
      <c r="M273" s="5">
        <v>45301</v>
      </c>
      <c r="N273" s="7" t="s">
        <v>299</v>
      </c>
      <c r="O273" s="7" t="s">
        <v>622</v>
      </c>
      <c r="P273" s="11">
        <v>45378</v>
      </c>
      <c r="Q273" s="2" t="str">
        <f t="shared" si="32"/>
        <v>45378下午班本地二区</v>
      </c>
      <c r="R273" s="2">
        <f t="shared" si="33"/>
        <v>9815973</v>
      </c>
      <c r="S273" s="2">
        <f t="shared" si="33"/>
        <v>45301</v>
      </c>
      <c r="T273" s="2" t="str">
        <f t="shared" si="34"/>
        <v>45378本地二区-下午班</v>
      </c>
      <c r="U273" s="2">
        <f t="shared" si="35"/>
        <v>4.61503E-3</v>
      </c>
      <c r="V273" s="2" t="str">
        <f t="shared" si="36"/>
        <v>赵依然</v>
      </c>
    </row>
    <row r="274" spans="1:22" ht="16.5" x14ac:dyDescent="0.4">
      <c r="A274" s="4" t="s">
        <v>93</v>
      </c>
      <c r="B274" s="70" t="s">
        <v>104</v>
      </c>
      <c r="C274" s="4" t="s">
        <v>110</v>
      </c>
      <c r="D274" s="4">
        <v>177</v>
      </c>
      <c r="E274" s="4">
        <v>130</v>
      </c>
      <c r="F274" s="5">
        <v>42400</v>
      </c>
      <c r="G274" s="5">
        <v>115970</v>
      </c>
      <c r="H274" s="6">
        <v>-73570</v>
      </c>
      <c r="I274" s="4" t="s">
        <v>101</v>
      </c>
      <c r="J274" s="5">
        <v>4646159</v>
      </c>
      <c r="K274" s="5">
        <v>42400</v>
      </c>
      <c r="L274" s="5">
        <v>11165751</v>
      </c>
      <c r="M274" s="5">
        <v>45767</v>
      </c>
      <c r="N274" s="7" t="s">
        <v>163</v>
      </c>
      <c r="O274" s="7" t="s">
        <v>623</v>
      </c>
      <c r="P274" s="11">
        <v>45379</v>
      </c>
      <c r="Q274" s="2" t="str">
        <f t="shared" si="32"/>
        <v>45379早班本地一区</v>
      </c>
      <c r="R274" s="2">
        <f t="shared" ref="R274:S289" si="37">L274</f>
        <v>11165751</v>
      </c>
      <c r="S274" s="2">
        <f t="shared" si="37"/>
        <v>45767</v>
      </c>
      <c r="T274" s="2" t="str">
        <f t="shared" si="34"/>
        <v>45379本地一区-早班</v>
      </c>
      <c r="U274" s="2">
        <f t="shared" si="35"/>
        <v>4.0988700000000001E-3</v>
      </c>
      <c r="V274" s="2" t="str">
        <f t="shared" si="36"/>
        <v>赵勇</v>
      </c>
    </row>
    <row r="275" spans="1:22" ht="16.5" x14ac:dyDescent="0.4">
      <c r="A275" s="4" t="s">
        <v>93</v>
      </c>
      <c r="B275" s="70" t="s">
        <v>105</v>
      </c>
      <c r="C275" s="4" t="s">
        <v>133</v>
      </c>
      <c r="D275" s="4">
        <v>186</v>
      </c>
      <c r="E275" s="4">
        <v>110</v>
      </c>
      <c r="F275" s="5">
        <v>33834</v>
      </c>
      <c r="G275" s="5">
        <v>93717</v>
      </c>
      <c r="H275" s="6">
        <v>-59883</v>
      </c>
      <c r="I275" s="4" t="s">
        <v>101</v>
      </c>
      <c r="J275" s="5">
        <v>3779800</v>
      </c>
      <c r="K275" s="5">
        <v>33834</v>
      </c>
      <c r="L275" s="5">
        <v>9337356</v>
      </c>
      <c r="M275" s="5">
        <v>37041</v>
      </c>
      <c r="N275" s="7" t="s">
        <v>296</v>
      </c>
      <c r="O275" s="7" t="s">
        <v>624</v>
      </c>
      <c r="P275" s="11">
        <v>45379</v>
      </c>
      <c r="Q275" s="2" t="str">
        <f t="shared" si="32"/>
        <v>45379早班本地二区</v>
      </c>
      <c r="R275" s="2">
        <f t="shared" si="37"/>
        <v>9337356</v>
      </c>
      <c r="S275" s="2">
        <f t="shared" si="37"/>
        <v>37041</v>
      </c>
      <c r="T275" s="2" t="str">
        <f t="shared" si="34"/>
        <v>45379本地二区-早班</v>
      </c>
      <c r="U275" s="2">
        <f t="shared" si="35"/>
        <v>3.9669700000000002E-3</v>
      </c>
      <c r="V275" s="2" t="str">
        <f t="shared" si="36"/>
        <v>林好男</v>
      </c>
    </row>
    <row r="276" spans="1:22" ht="16.5" x14ac:dyDescent="0.4">
      <c r="A276" s="4" t="s">
        <v>92</v>
      </c>
      <c r="B276" s="70" t="s">
        <v>104</v>
      </c>
      <c r="C276" s="4" t="s">
        <v>111</v>
      </c>
      <c r="D276" s="4">
        <v>151</v>
      </c>
      <c r="E276" s="4">
        <v>115</v>
      </c>
      <c r="F276" s="5">
        <v>37779</v>
      </c>
      <c r="G276" s="5">
        <v>115970</v>
      </c>
      <c r="H276" s="6">
        <v>-78191</v>
      </c>
      <c r="I276" s="4" t="s">
        <v>101</v>
      </c>
      <c r="J276" s="5">
        <v>2903528</v>
      </c>
      <c r="K276" s="5">
        <v>37779</v>
      </c>
      <c r="L276" s="5">
        <v>5821767</v>
      </c>
      <c r="M276" s="5">
        <v>40298</v>
      </c>
      <c r="N276" s="7" t="s">
        <v>120</v>
      </c>
      <c r="O276" s="7" t="s">
        <v>625</v>
      </c>
      <c r="P276" s="11">
        <v>45379</v>
      </c>
      <c r="Q276" s="2" t="str">
        <f t="shared" si="32"/>
        <v>45379下午班本地一区</v>
      </c>
      <c r="R276" s="2">
        <f t="shared" si="37"/>
        <v>5821767</v>
      </c>
      <c r="S276" s="2">
        <f t="shared" si="37"/>
        <v>40298</v>
      </c>
      <c r="T276" s="2" t="str">
        <f t="shared" si="34"/>
        <v>45379本地一区-下午班</v>
      </c>
      <c r="U276" s="2">
        <f t="shared" si="35"/>
        <v>6.9219499999999996E-3</v>
      </c>
      <c r="V276" s="2" t="str">
        <f t="shared" si="36"/>
        <v>陈楠</v>
      </c>
    </row>
    <row r="277" spans="1:22" ht="16.5" x14ac:dyDescent="0.4">
      <c r="A277" s="4" t="s">
        <v>92</v>
      </c>
      <c r="B277" s="70" t="s">
        <v>105</v>
      </c>
      <c r="C277" s="4" t="s">
        <v>158</v>
      </c>
      <c r="D277" s="4">
        <v>170</v>
      </c>
      <c r="E277" s="4">
        <v>103</v>
      </c>
      <c r="F277" s="5">
        <v>29107</v>
      </c>
      <c r="G277" s="5">
        <v>93717</v>
      </c>
      <c r="H277" s="6">
        <v>-64610</v>
      </c>
      <c r="I277" s="4" t="s">
        <v>101</v>
      </c>
      <c r="J277" s="5">
        <v>2609340</v>
      </c>
      <c r="K277" s="5">
        <v>29107</v>
      </c>
      <c r="L277" s="5">
        <v>4763111</v>
      </c>
      <c r="M277" s="5">
        <v>31593</v>
      </c>
      <c r="N277" s="7" t="s">
        <v>116</v>
      </c>
      <c r="O277" s="7" t="s">
        <v>626</v>
      </c>
      <c r="P277" s="11">
        <v>45379</v>
      </c>
      <c r="Q277" s="2" t="str">
        <f t="shared" si="32"/>
        <v>45379下午班本地二区</v>
      </c>
      <c r="R277" s="2">
        <f t="shared" si="37"/>
        <v>4763111</v>
      </c>
      <c r="S277" s="2">
        <f t="shared" si="37"/>
        <v>31593</v>
      </c>
      <c r="T277" s="2" t="str">
        <f t="shared" si="34"/>
        <v>45379本地二区-下午班</v>
      </c>
      <c r="U277" s="2">
        <f t="shared" si="35"/>
        <v>6.63285E-3</v>
      </c>
      <c r="V277" s="2" t="str">
        <f t="shared" si="36"/>
        <v>李晓晗</v>
      </c>
    </row>
    <row r="278" spans="1:22" ht="16.5" x14ac:dyDescent="0.4">
      <c r="A278" s="4" t="s">
        <v>93</v>
      </c>
      <c r="B278" s="70" t="s">
        <v>104</v>
      </c>
      <c r="C278" s="4" t="s">
        <v>133</v>
      </c>
      <c r="D278" s="4">
        <v>192</v>
      </c>
      <c r="E278" s="4">
        <v>122</v>
      </c>
      <c r="F278" s="5">
        <v>36999</v>
      </c>
      <c r="G278" s="5">
        <v>115970</v>
      </c>
      <c r="H278" s="6">
        <v>-78971</v>
      </c>
      <c r="I278" s="4" t="s">
        <v>101</v>
      </c>
      <c r="J278" s="5">
        <v>4171502</v>
      </c>
      <c r="K278" s="5">
        <v>36999</v>
      </c>
      <c r="L278" s="5">
        <v>8431258</v>
      </c>
      <c r="M278" s="5">
        <v>41215</v>
      </c>
      <c r="N278" s="7" t="s">
        <v>424</v>
      </c>
      <c r="O278" s="7" t="s">
        <v>627</v>
      </c>
      <c r="P278" s="11">
        <v>45380</v>
      </c>
      <c r="Q278" s="2" t="str">
        <f t="shared" si="32"/>
        <v>45380早班本地一区</v>
      </c>
      <c r="R278" s="2">
        <f t="shared" si="37"/>
        <v>8431258</v>
      </c>
      <c r="S278" s="2">
        <f t="shared" si="37"/>
        <v>41215</v>
      </c>
      <c r="T278" s="2" t="str">
        <f t="shared" si="34"/>
        <v>45380本地一区-早班</v>
      </c>
      <c r="U278" s="2">
        <f t="shared" si="35"/>
        <v>4.8883599999999996E-3</v>
      </c>
      <c r="V278" s="2" t="str">
        <f t="shared" si="36"/>
        <v>林好男</v>
      </c>
    </row>
    <row r="279" spans="1:22" ht="16.5" x14ac:dyDescent="0.4">
      <c r="A279" s="4" t="s">
        <v>93</v>
      </c>
      <c r="B279" s="70" t="s">
        <v>105</v>
      </c>
      <c r="C279" s="4" t="s">
        <v>122</v>
      </c>
      <c r="D279" s="4">
        <v>147</v>
      </c>
      <c r="E279" s="4">
        <v>112</v>
      </c>
      <c r="F279" s="5">
        <v>27260</v>
      </c>
      <c r="G279" s="5">
        <v>93717</v>
      </c>
      <c r="H279" s="6">
        <v>-66457</v>
      </c>
      <c r="I279" s="4" t="s">
        <v>101</v>
      </c>
      <c r="J279" s="5">
        <v>4022003</v>
      </c>
      <c r="K279" s="5">
        <v>27260</v>
      </c>
      <c r="L279" s="5">
        <v>9468122</v>
      </c>
      <c r="M279" s="5">
        <v>29694</v>
      </c>
      <c r="N279" s="7" t="s">
        <v>519</v>
      </c>
      <c r="O279" s="7" t="s">
        <v>628</v>
      </c>
      <c r="P279" s="11">
        <v>45380</v>
      </c>
      <c r="Q279" s="2" t="str">
        <f t="shared" si="32"/>
        <v>45380早班本地二区</v>
      </c>
      <c r="R279" s="2">
        <f t="shared" si="37"/>
        <v>9468122</v>
      </c>
      <c r="S279" s="2">
        <f t="shared" si="37"/>
        <v>29694</v>
      </c>
      <c r="T279" s="2" t="str">
        <f t="shared" si="34"/>
        <v>45380本地二区-早班</v>
      </c>
      <c r="U279" s="2">
        <f t="shared" si="35"/>
        <v>3.13621E-3</v>
      </c>
      <c r="V279" s="2" t="str">
        <f t="shared" si="36"/>
        <v>赵依然</v>
      </c>
    </row>
    <row r="280" spans="1:22" ht="16.5" x14ac:dyDescent="0.4">
      <c r="A280" s="4" t="s">
        <v>92</v>
      </c>
      <c r="B280" s="70" t="s">
        <v>104</v>
      </c>
      <c r="C280" s="4" t="s">
        <v>111</v>
      </c>
      <c r="D280" s="4">
        <v>153</v>
      </c>
      <c r="E280" s="4">
        <v>112</v>
      </c>
      <c r="F280" s="5">
        <v>45914</v>
      </c>
      <c r="G280" s="5">
        <v>115970</v>
      </c>
      <c r="H280" s="6">
        <v>-70056</v>
      </c>
      <c r="I280" s="4" t="s">
        <v>101</v>
      </c>
      <c r="J280" s="5">
        <v>4639914</v>
      </c>
      <c r="K280" s="5">
        <v>45914</v>
      </c>
      <c r="L280" s="5">
        <v>9714936</v>
      </c>
      <c r="M280" s="5">
        <v>50273</v>
      </c>
      <c r="N280" s="7" t="s">
        <v>475</v>
      </c>
      <c r="O280" s="7" t="s">
        <v>629</v>
      </c>
      <c r="P280" s="11">
        <v>45380</v>
      </c>
      <c r="Q280" s="2" t="str">
        <f t="shared" si="32"/>
        <v>45380下午班本地一区</v>
      </c>
      <c r="R280" s="2">
        <f t="shared" si="37"/>
        <v>9714936</v>
      </c>
      <c r="S280" s="2">
        <f t="shared" si="37"/>
        <v>50273</v>
      </c>
      <c r="T280" s="2" t="str">
        <f t="shared" si="34"/>
        <v>45380本地一区-下午班</v>
      </c>
      <c r="U280" s="2">
        <f t="shared" si="35"/>
        <v>5.1748200000000001E-3</v>
      </c>
      <c r="V280" s="2" t="str">
        <f t="shared" si="36"/>
        <v>陈楠</v>
      </c>
    </row>
    <row r="281" spans="1:22" ht="16.5" x14ac:dyDescent="0.4">
      <c r="A281" s="4" t="s">
        <v>92</v>
      </c>
      <c r="B281" s="70" t="s">
        <v>105</v>
      </c>
      <c r="C281" s="4" t="s">
        <v>158</v>
      </c>
      <c r="D281" s="4">
        <v>167</v>
      </c>
      <c r="E281" s="4">
        <v>111</v>
      </c>
      <c r="F281" s="5">
        <v>31177</v>
      </c>
      <c r="G281" s="5">
        <v>93717</v>
      </c>
      <c r="H281" s="6">
        <v>-62540</v>
      </c>
      <c r="I281" s="4" t="s">
        <v>101</v>
      </c>
      <c r="J281" s="5">
        <v>2309231</v>
      </c>
      <c r="K281" s="5">
        <v>31177</v>
      </c>
      <c r="L281" s="5">
        <v>4812800</v>
      </c>
      <c r="M281" s="5">
        <v>34511</v>
      </c>
      <c r="N281" s="7" t="s">
        <v>518</v>
      </c>
      <c r="O281" s="7" t="s">
        <v>630</v>
      </c>
      <c r="P281" s="11">
        <v>45380</v>
      </c>
      <c r="Q281" s="2" t="str">
        <f t="shared" si="32"/>
        <v>45380下午班本地二区</v>
      </c>
      <c r="R281" s="2">
        <f t="shared" si="37"/>
        <v>4812800</v>
      </c>
      <c r="S281" s="2">
        <f t="shared" si="37"/>
        <v>34511</v>
      </c>
      <c r="T281" s="2" t="str">
        <f t="shared" si="34"/>
        <v>45380本地二区-下午班</v>
      </c>
      <c r="U281" s="2">
        <f t="shared" si="35"/>
        <v>7.1706699999999996E-3</v>
      </c>
      <c r="V281" s="2" t="str">
        <f t="shared" si="36"/>
        <v>李晓晗</v>
      </c>
    </row>
    <row r="282" spans="1:22" ht="16.5" x14ac:dyDescent="0.4">
      <c r="A282" s="4" t="s">
        <v>93</v>
      </c>
      <c r="B282" s="70" t="s">
        <v>104</v>
      </c>
      <c r="C282" s="4" t="s">
        <v>122</v>
      </c>
      <c r="D282" s="4">
        <v>159</v>
      </c>
      <c r="E282" s="4">
        <v>101</v>
      </c>
      <c r="F282" s="5">
        <v>32975</v>
      </c>
      <c r="G282" s="5">
        <v>115970</v>
      </c>
      <c r="H282" s="6">
        <v>-82995</v>
      </c>
      <c r="I282" s="4" t="s">
        <v>101</v>
      </c>
      <c r="J282" s="5">
        <v>4551735</v>
      </c>
      <c r="K282" s="5">
        <v>32975</v>
      </c>
      <c r="L282" s="5">
        <v>11623359</v>
      </c>
      <c r="M282" s="5">
        <v>36722</v>
      </c>
      <c r="N282" s="7" t="s">
        <v>448</v>
      </c>
      <c r="O282" s="7" t="s">
        <v>631</v>
      </c>
      <c r="P282" s="11">
        <v>45381</v>
      </c>
      <c r="Q282" s="2" t="str">
        <f t="shared" si="32"/>
        <v>45381早班本地一区</v>
      </c>
      <c r="R282" s="2">
        <f t="shared" si="37"/>
        <v>11623359</v>
      </c>
      <c r="S282" s="2">
        <f t="shared" si="37"/>
        <v>36722</v>
      </c>
      <c r="T282" s="2" t="str">
        <f t="shared" si="34"/>
        <v>45381本地一区-早班</v>
      </c>
      <c r="U282" s="2">
        <f t="shared" si="35"/>
        <v>3.1593300000000001E-3</v>
      </c>
      <c r="V282" s="2" t="str">
        <f t="shared" si="36"/>
        <v>赵依然</v>
      </c>
    </row>
    <row r="283" spans="1:22" ht="16.5" x14ac:dyDescent="0.4">
      <c r="A283" s="4" t="s">
        <v>93</v>
      </c>
      <c r="B283" s="70" t="s">
        <v>105</v>
      </c>
      <c r="C283" s="4" t="s">
        <v>133</v>
      </c>
      <c r="D283" s="4">
        <v>166</v>
      </c>
      <c r="E283" s="4">
        <v>121</v>
      </c>
      <c r="F283" s="5">
        <v>29677</v>
      </c>
      <c r="G283" s="5">
        <v>93717</v>
      </c>
      <c r="H283" s="6">
        <v>-64040</v>
      </c>
      <c r="I283" s="4" t="s">
        <v>101</v>
      </c>
      <c r="J283" s="5">
        <v>4058310</v>
      </c>
      <c r="K283" s="5">
        <v>29677</v>
      </c>
      <c r="L283" s="5">
        <v>9985335</v>
      </c>
      <c r="M283" s="5">
        <v>32813</v>
      </c>
      <c r="N283" s="7" t="s">
        <v>185</v>
      </c>
      <c r="O283" s="7" t="s">
        <v>632</v>
      </c>
      <c r="P283" s="11">
        <v>45381</v>
      </c>
      <c r="Q283" s="2" t="str">
        <f t="shared" si="32"/>
        <v>45381早班本地二区</v>
      </c>
      <c r="R283" s="2">
        <f t="shared" si="37"/>
        <v>9985335</v>
      </c>
      <c r="S283" s="2">
        <f t="shared" si="37"/>
        <v>32813</v>
      </c>
      <c r="T283" s="2" t="str">
        <f t="shared" si="34"/>
        <v>45381本地二区-早班</v>
      </c>
      <c r="U283" s="2">
        <f t="shared" si="35"/>
        <v>3.28612E-3</v>
      </c>
      <c r="V283" s="2" t="str">
        <f t="shared" si="36"/>
        <v>林好男</v>
      </c>
    </row>
    <row r="284" spans="1:22" ht="16.5" x14ac:dyDescent="0.4">
      <c r="A284" s="4" t="s">
        <v>92</v>
      </c>
      <c r="B284" s="70" t="s">
        <v>178</v>
      </c>
      <c r="C284" s="4" t="s">
        <v>158</v>
      </c>
      <c r="D284" s="4">
        <v>200</v>
      </c>
      <c r="E284" s="4">
        <v>124</v>
      </c>
      <c r="F284" s="5">
        <v>57667</v>
      </c>
      <c r="G284" s="5">
        <v>209686</v>
      </c>
      <c r="H284" s="6">
        <v>-152019</v>
      </c>
      <c r="I284" s="4" t="s">
        <v>101</v>
      </c>
      <c r="J284" s="5">
        <v>5090877</v>
      </c>
      <c r="K284" s="5">
        <v>57667</v>
      </c>
      <c r="L284" s="5">
        <v>8925732</v>
      </c>
      <c r="M284" s="5">
        <v>63978</v>
      </c>
      <c r="N284" s="7" t="s">
        <v>488</v>
      </c>
      <c r="O284" s="7" t="s">
        <v>633</v>
      </c>
      <c r="P284" s="11">
        <v>45381</v>
      </c>
      <c r="Q284" s="2" t="str">
        <f t="shared" si="32"/>
        <v>45381下午班本地所有</v>
      </c>
      <c r="R284" s="2">
        <f t="shared" si="37"/>
        <v>8925732</v>
      </c>
      <c r="S284" s="2">
        <f t="shared" si="37"/>
        <v>63978</v>
      </c>
      <c r="T284" s="2" t="str">
        <f t="shared" si="34"/>
        <v>45381本地所有-下午班</v>
      </c>
      <c r="U284" s="2">
        <f t="shared" si="35"/>
        <v>7.1678200000000001E-3</v>
      </c>
      <c r="V284" s="2" t="str">
        <f t="shared" si="36"/>
        <v>李晓晗</v>
      </c>
    </row>
    <row r="285" spans="1:22" ht="16.5" x14ac:dyDescent="0.4">
      <c r="A285" s="4" t="s">
        <v>93</v>
      </c>
      <c r="B285" s="70" t="s">
        <v>104</v>
      </c>
      <c r="C285" s="4" t="s">
        <v>110</v>
      </c>
      <c r="D285" s="4">
        <v>161</v>
      </c>
      <c r="E285" s="4">
        <v>119</v>
      </c>
      <c r="F285" s="5">
        <v>33836</v>
      </c>
      <c r="G285" s="5">
        <v>115970</v>
      </c>
      <c r="H285" s="6">
        <v>-82134</v>
      </c>
      <c r="I285" s="4" t="s">
        <v>101</v>
      </c>
      <c r="J285" s="5">
        <v>4564052</v>
      </c>
      <c r="K285" s="5">
        <v>33836</v>
      </c>
      <c r="L285" s="5">
        <v>8746118</v>
      </c>
      <c r="M285" s="5">
        <v>36978</v>
      </c>
      <c r="N285" s="7" t="s">
        <v>438</v>
      </c>
      <c r="O285" s="7" t="s">
        <v>634</v>
      </c>
      <c r="P285" s="11">
        <v>45382</v>
      </c>
      <c r="Q285" s="2" t="str">
        <f t="shared" si="32"/>
        <v>45382早班本地一区</v>
      </c>
      <c r="R285" s="2">
        <f t="shared" si="37"/>
        <v>8746118</v>
      </c>
      <c r="S285" s="2">
        <f t="shared" si="37"/>
        <v>36978</v>
      </c>
      <c r="T285" s="2" t="str">
        <f t="shared" si="34"/>
        <v>45382本地一区-早班</v>
      </c>
      <c r="U285" s="2">
        <f t="shared" si="35"/>
        <v>4.2279300000000004E-3</v>
      </c>
      <c r="V285" s="2" t="str">
        <f t="shared" si="36"/>
        <v>赵勇</v>
      </c>
    </row>
    <row r="286" spans="1:22" ht="16.5" x14ac:dyDescent="0.4">
      <c r="A286" s="4" t="s">
        <v>93</v>
      </c>
      <c r="B286" s="70" t="s">
        <v>105</v>
      </c>
      <c r="C286" s="4" t="s">
        <v>111</v>
      </c>
      <c r="D286" s="4">
        <v>152</v>
      </c>
      <c r="E286" s="4">
        <v>97</v>
      </c>
      <c r="F286" s="5">
        <v>29104</v>
      </c>
      <c r="G286" s="5">
        <v>93717</v>
      </c>
      <c r="H286" s="6">
        <v>-64613</v>
      </c>
      <c r="I286" s="4" t="s">
        <v>101</v>
      </c>
      <c r="J286" s="5">
        <v>5484560</v>
      </c>
      <c r="K286" s="5">
        <v>29104</v>
      </c>
      <c r="L286" s="5">
        <v>8157570</v>
      </c>
      <c r="M286" s="5">
        <v>30292</v>
      </c>
      <c r="N286" s="7" t="s">
        <v>283</v>
      </c>
      <c r="O286" s="7" t="s">
        <v>635</v>
      </c>
      <c r="P286" s="11">
        <v>45382</v>
      </c>
      <c r="Q286" s="2" t="str">
        <f t="shared" si="32"/>
        <v>45382早班本地二区</v>
      </c>
      <c r="R286" s="2">
        <f t="shared" si="37"/>
        <v>8157570</v>
      </c>
      <c r="S286" s="2">
        <f t="shared" si="37"/>
        <v>30292</v>
      </c>
      <c r="T286" s="2" t="str">
        <f t="shared" si="34"/>
        <v>45382本地二区-早班</v>
      </c>
      <c r="U286" s="2">
        <f t="shared" si="35"/>
        <v>3.7133600000000002E-3</v>
      </c>
      <c r="V286" s="2" t="str">
        <f t="shared" si="36"/>
        <v>陈楠</v>
      </c>
    </row>
    <row r="287" spans="1:22" ht="16.5" x14ac:dyDescent="0.4">
      <c r="A287" s="4" t="s">
        <v>92</v>
      </c>
      <c r="B287" s="70" t="s">
        <v>178</v>
      </c>
      <c r="C287" s="4" t="s">
        <v>122</v>
      </c>
      <c r="D287" s="4">
        <v>219</v>
      </c>
      <c r="E287" s="4">
        <v>124</v>
      </c>
      <c r="F287" s="5">
        <v>38333</v>
      </c>
      <c r="G287" s="5">
        <v>209686</v>
      </c>
      <c r="H287" s="6">
        <v>-171353</v>
      </c>
      <c r="I287" s="4" t="s">
        <v>101</v>
      </c>
      <c r="J287" s="5">
        <v>6556787</v>
      </c>
      <c r="K287" s="5">
        <v>38333</v>
      </c>
      <c r="L287" s="5">
        <v>11377039</v>
      </c>
      <c r="M287" s="5">
        <v>41536</v>
      </c>
      <c r="N287" s="7" t="s">
        <v>198</v>
      </c>
      <c r="O287" s="7" t="s">
        <v>636</v>
      </c>
      <c r="P287" s="11">
        <v>45382</v>
      </c>
      <c r="Q287" s="2" t="str">
        <f t="shared" si="32"/>
        <v>45382下午班本地所有</v>
      </c>
      <c r="R287" s="2">
        <f t="shared" si="37"/>
        <v>11377039</v>
      </c>
      <c r="S287" s="2">
        <f t="shared" si="37"/>
        <v>41536</v>
      </c>
      <c r="T287" s="2" t="str">
        <f t="shared" si="34"/>
        <v>45382本地所有-下午班</v>
      </c>
      <c r="U287" s="2">
        <f t="shared" si="35"/>
        <v>3.6508600000000001E-3</v>
      </c>
      <c r="V287" s="2" t="str">
        <f t="shared" si="36"/>
        <v>赵依然</v>
      </c>
    </row>
    <row r="288" spans="1:22" ht="16.5" x14ac:dyDescent="0.4">
      <c r="A288" s="4" t="s">
        <v>93</v>
      </c>
      <c r="B288" s="70" t="s">
        <v>104</v>
      </c>
      <c r="C288" s="4" t="s">
        <v>110</v>
      </c>
      <c r="D288" s="4">
        <v>166</v>
      </c>
      <c r="E288" s="4">
        <v>118</v>
      </c>
      <c r="F288" s="5">
        <v>34348</v>
      </c>
      <c r="G288" s="5">
        <v>115970</v>
      </c>
      <c r="H288" s="6">
        <v>-81622</v>
      </c>
      <c r="I288" s="4" t="s">
        <v>101</v>
      </c>
      <c r="J288" s="5">
        <v>4453177</v>
      </c>
      <c r="K288" s="5">
        <v>34348</v>
      </c>
      <c r="L288" s="5">
        <v>8974539</v>
      </c>
      <c r="M288" s="5">
        <v>37920</v>
      </c>
      <c r="N288" s="7" t="s">
        <v>169</v>
      </c>
      <c r="O288" s="7" t="s">
        <v>637</v>
      </c>
      <c r="P288" s="11">
        <v>45383</v>
      </c>
      <c r="Q288" s="2" t="str">
        <f t="shared" si="32"/>
        <v>45383早班本地一区</v>
      </c>
      <c r="R288" s="2">
        <f t="shared" si="37"/>
        <v>8974539</v>
      </c>
      <c r="S288" s="2">
        <f t="shared" si="37"/>
        <v>37920</v>
      </c>
      <c r="T288" s="2" t="str">
        <f t="shared" si="34"/>
        <v>45383本地一区-早班</v>
      </c>
      <c r="U288" s="2">
        <f t="shared" si="35"/>
        <v>4.2252899999999996E-3</v>
      </c>
      <c r="V288" s="2" t="str">
        <f t="shared" si="36"/>
        <v>赵勇</v>
      </c>
    </row>
    <row r="289" spans="1:22" ht="16.5" x14ac:dyDescent="0.4">
      <c r="A289" s="4" t="s">
        <v>93</v>
      </c>
      <c r="B289" s="70" t="s">
        <v>105</v>
      </c>
      <c r="C289" s="4" t="s">
        <v>111</v>
      </c>
      <c r="D289" s="4">
        <v>162</v>
      </c>
      <c r="E289" s="4">
        <v>101</v>
      </c>
      <c r="F289" s="5">
        <v>25660</v>
      </c>
      <c r="G289" s="5">
        <v>93717</v>
      </c>
      <c r="H289" s="6">
        <v>-68057</v>
      </c>
      <c r="I289" s="4" t="s">
        <v>101</v>
      </c>
      <c r="J289" s="5">
        <v>3773384</v>
      </c>
      <c r="K289" s="5">
        <v>25660</v>
      </c>
      <c r="L289" s="5">
        <v>5965157</v>
      </c>
      <c r="M289" s="5">
        <v>26536</v>
      </c>
      <c r="N289" s="7" t="s">
        <v>519</v>
      </c>
      <c r="O289" s="7" t="s">
        <v>638</v>
      </c>
      <c r="P289" s="11">
        <v>45383</v>
      </c>
      <c r="Q289" s="2" t="str">
        <f t="shared" si="32"/>
        <v>45383早班本地二区</v>
      </c>
      <c r="R289" s="2">
        <f t="shared" si="37"/>
        <v>5965157</v>
      </c>
      <c r="S289" s="2">
        <f t="shared" si="37"/>
        <v>26536</v>
      </c>
      <c r="T289" s="2" t="str">
        <f t="shared" si="34"/>
        <v>45383本地二区-早班</v>
      </c>
      <c r="U289" s="2">
        <f t="shared" si="35"/>
        <v>4.4485000000000002E-3</v>
      </c>
      <c r="V289" s="2" t="str">
        <f t="shared" si="36"/>
        <v>陈楠</v>
      </c>
    </row>
    <row r="290" spans="1:22" ht="16.5" x14ac:dyDescent="0.4">
      <c r="A290" s="4" t="s">
        <v>92</v>
      </c>
      <c r="B290" s="70" t="s">
        <v>104</v>
      </c>
      <c r="C290" s="4" t="s">
        <v>158</v>
      </c>
      <c r="D290" s="4">
        <v>167</v>
      </c>
      <c r="E290" s="4">
        <v>104</v>
      </c>
      <c r="F290" s="5">
        <v>39072</v>
      </c>
      <c r="G290" s="5">
        <v>115970</v>
      </c>
      <c r="H290" s="6">
        <v>-76898</v>
      </c>
      <c r="I290" s="4" t="s">
        <v>101</v>
      </c>
      <c r="J290" s="5">
        <v>2773629</v>
      </c>
      <c r="K290" s="5">
        <v>39072</v>
      </c>
      <c r="L290" s="5">
        <v>5765176</v>
      </c>
      <c r="M290" s="5">
        <v>42947</v>
      </c>
      <c r="N290" s="7" t="s">
        <v>429</v>
      </c>
      <c r="O290" s="7" t="s">
        <v>639</v>
      </c>
      <c r="P290" s="11">
        <v>45383</v>
      </c>
      <c r="Q290" s="2" t="str">
        <f t="shared" si="32"/>
        <v>45383下午班本地一区</v>
      </c>
      <c r="R290" s="2">
        <f t="shared" ref="R290:S305" si="38">L290</f>
        <v>5765176</v>
      </c>
      <c r="S290" s="2">
        <f t="shared" si="38"/>
        <v>42947</v>
      </c>
      <c r="T290" s="2" t="str">
        <f t="shared" si="34"/>
        <v>45383本地一区-下午班</v>
      </c>
      <c r="U290" s="2">
        <f t="shared" si="35"/>
        <v>7.4493800000000002E-3</v>
      </c>
      <c r="V290" s="2" t="str">
        <f t="shared" si="36"/>
        <v>李晓晗</v>
      </c>
    </row>
    <row r="291" spans="1:22" ht="16.5" x14ac:dyDescent="0.4">
      <c r="A291" s="4" t="s">
        <v>92</v>
      </c>
      <c r="B291" s="70" t="s">
        <v>105</v>
      </c>
      <c r="C291" s="4" t="s">
        <v>122</v>
      </c>
      <c r="D291" s="4">
        <v>168</v>
      </c>
      <c r="E291" s="4">
        <v>98</v>
      </c>
      <c r="F291" s="5">
        <v>34335</v>
      </c>
      <c r="G291" s="5">
        <v>93717</v>
      </c>
      <c r="H291" s="6">
        <v>-59382</v>
      </c>
      <c r="I291" s="4" t="s">
        <v>101</v>
      </c>
      <c r="J291" s="5">
        <v>7690261</v>
      </c>
      <c r="K291" s="5">
        <v>34335</v>
      </c>
      <c r="L291" s="5">
        <v>11301065</v>
      </c>
      <c r="M291" s="5">
        <v>36813</v>
      </c>
      <c r="N291" s="7" t="s">
        <v>420</v>
      </c>
      <c r="O291" s="7" t="s">
        <v>640</v>
      </c>
      <c r="P291" s="11">
        <v>45383</v>
      </c>
      <c r="Q291" s="2" t="str">
        <f t="shared" si="32"/>
        <v>45383下午班本地二区</v>
      </c>
      <c r="R291" s="2">
        <f t="shared" si="38"/>
        <v>11301065</v>
      </c>
      <c r="S291" s="2">
        <f t="shared" si="38"/>
        <v>36813</v>
      </c>
      <c r="T291" s="2" t="str">
        <f t="shared" si="34"/>
        <v>45383本地二区-下午班</v>
      </c>
      <c r="U291" s="2">
        <f t="shared" si="35"/>
        <v>3.2574800000000001E-3</v>
      </c>
      <c r="V291" s="2" t="str">
        <f t="shared" si="36"/>
        <v>赵依然</v>
      </c>
    </row>
    <row r="292" spans="1:22" ht="16.5" x14ac:dyDescent="0.4">
      <c r="A292" s="4" t="s">
        <v>93</v>
      </c>
      <c r="B292" s="70" t="s">
        <v>104</v>
      </c>
      <c r="C292" s="4" t="s">
        <v>110</v>
      </c>
      <c r="D292" s="4">
        <v>198</v>
      </c>
      <c r="E292" s="4">
        <v>120</v>
      </c>
      <c r="F292" s="5">
        <v>44412</v>
      </c>
      <c r="G292" s="5">
        <v>115970</v>
      </c>
      <c r="H292" s="6">
        <v>-71558</v>
      </c>
      <c r="I292" s="4" t="s">
        <v>101</v>
      </c>
      <c r="J292" s="5">
        <v>6238316</v>
      </c>
      <c r="K292" s="5">
        <v>44412</v>
      </c>
      <c r="L292" s="5">
        <v>11547497</v>
      </c>
      <c r="M292" s="5">
        <v>48392</v>
      </c>
      <c r="N292" s="7" t="s">
        <v>161</v>
      </c>
      <c r="O292" s="7" t="s">
        <v>641</v>
      </c>
      <c r="P292" s="11">
        <v>45384</v>
      </c>
      <c r="Q292" s="2" t="str">
        <f t="shared" si="32"/>
        <v>45384早班本地一区</v>
      </c>
      <c r="R292" s="2">
        <f t="shared" si="38"/>
        <v>11547497</v>
      </c>
      <c r="S292" s="2">
        <f t="shared" si="38"/>
        <v>48392</v>
      </c>
      <c r="T292" s="2" t="str">
        <f t="shared" si="34"/>
        <v>45384本地一区-早班</v>
      </c>
      <c r="U292" s="2">
        <f t="shared" si="35"/>
        <v>4.1906900000000004E-3</v>
      </c>
      <c r="V292" s="2" t="str">
        <f t="shared" si="36"/>
        <v>赵勇</v>
      </c>
    </row>
    <row r="293" spans="1:22" ht="16.5" x14ac:dyDescent="0.4">
      <c r="A293" s="4" t="s">
        <v>93</v>
      </c>
      <c r="B293" s="70" t="s">
        <v>105</v>
      </c>
      <c r="C293" s="4" t="s">
        <v>111</v>
      </c>
      <c r="D293" s="4">
        <v>156</v>
      </c>
      <c r="E293" s="4">
        <v>110</v>
      </c>
      <c r="F293" s="5">
        <v>31679</v>
      </c>
      <c r="G293" s="5">
        <v>93717</v>
      </c>
      <c r="H293" s="6">
        <v>-62038</v>
      </c>
      <c r="I293" s="4" t="s">
        <v>101</v>
      </c>
      <c r="J293" s="5">
        <v>6402926</v>
      </c>
      <c r="K293" s="5">
        <v>31679</v>
      </c>
      <c r="L293" s="5">
        <v>8680218</v>
      </c>
      <c r="M293" s="5">
        <v>32508</v>
      </c>
      <c r="N293" s="7" t="s">
        <v>527</v>
      </c>
      <c r="O293" s="7" t="s">
        <v>642</v>
      </c>
      <c r="P293" s="11">
        <v>45384</v>
      </c>
      <c r="Q293" s="2" t="str">
        <f t="shared" si="32"/>
        <v>45384早班本地二区</v>
      </c>
      <c r="R293" s="2">
        <f t="shared" si="38"/>
        <v>8680218</v>
      </c>
      <c r="S293" s="2">
        <f t="shared" si="38"/>
        <v>32508</v>
      </c>
      <c r="T293" s="2" t="str">
        <f t="shared" si="34"/>
        <v>45384本地二区-早班</v>
      </c>
      <c r="U293" s="2">
        <f t="shared" si="35"/>
        <v>3.7450700000000001E-3</v>
      </c>
      <c r="V293" s="2" t="str">
        <f t="shared" si="36"/>
        <v>陈楠</v>
      </c>
    </row>
    <row r="294" spans="1:22" ht="16.5" x14ac:dyDescent="0.4">
      <c r="A294" s="4" t="s">
        <v>92</v>
      </c>
      <c r="B294" s="70" t="s">
        <v>104</v>
      </c>
      <c r="C294" s="4" t="s">
        <v>158</v>
      </c>
      <c r="D294" s="4">
        <v>170</v>
      </c>
      <c r="E294" s="4">
        <v>103</v>
      </c>
      <c r="F294" s="5">
        <v>35690</v>
      </c>
      <c r="G294" s="5">
        <v>115970</v>
      </c>
      <c r="H294" s="6">
        <v>-80280</v>
      </c>
      <c r="I294" s="4" t="s">
        <v>101</v>
      </c>
      <c r="J294" s="5">
        <v>2771908</v>
      </c>
      <c r="K294" s="5">
        <v>35690</v>
      </c>
      <c r="L294" s="5">
        <v>5868184</v>
      </c>
      <c r="M294" s="5">
        <v>38668</v>
      </c>
      <c r="N294" s="7" t="s">
        <v>391</v>
      </c>
      <c r="O294" s="7" t="s">
        <v>643</v>
      </c>
      <c r="P294" s="11">
        <v>45384</v>
      </c>
      <c r="Q294" s="2" t="str">
        <f t="shared" si="32"/>
        <v>45384下午班本地一区</v>
      </c>
      <c r="R294" s="2">
        <f t="shared" si="38"/>
        <v>5868184</v>
      </c>
      <c r="S294" s="2">
        <f t="shared" si="38"/>
        <v>38668</v>
      </c>
      <c r="T294" s="2" t="str">
        <f t="shared" si="34"/>
        <v>45384本地一区-下午班</v>
      </c>
      <c r="U294" s="2">
        <f t="shared" si="35"/>
        <v>6.5894300000000003E-3</v>
      </c>
      <c r="V294" s="2" t="str">
        <f t="shared" si="36"/>
        <v>李晓晗</v>
      </c>
    </row>
    <row r="295" spans="1:22" ht="16.5" x14ac:dyDescent="0.4">
      <c r="A295" s="4" t="s">
        <v>92</v>
      </c>
      <c r="B295" s="70" t="s">
        <v>105</v>
      </c>
      <c r="C295" s="4" t="s">
        <v>122</v>
      </c>
      <c r="D295" s="4">
        <v>186</v>
      </c>
      <c r="E295" s="4">
        <v>102</v>
      </c>
      <c r="F295" s="5">
        <v>27048</v>
      </c>
      <c r="G295" s="5">
        <v>93717</v>
      </c>
      <c r="H295" s="6">
        <v>-66669</v>
      </c>
      <c r="I295" s="4" t="s">
        <v>101</v>
      </c>
      <c r="J295" s="5">
        <v>3161529</v>
      </c>
      <c r="K295" s="5">
        <v>27048</v>
      </c>
      <c r="L295" s="5">
        <v>5841428</v>
      </c>
      <c r="M295" s="5">
        <v>29945</v>
      </c>
      <c r="N295" s="7" t="s">
        <v>143</v>
      </c>
      <c r="O295" s="7" t="s">
        <v>644</v>
      </c>
      <c r="P295" s="11">
        <v>45384</v>
      </c>
      <c r="Q295" s="2" t="str">
        <f t="shared" si="32"/>
        <v>45384下午班本地二区</v>
      </c>
      <c r="R295" s="2">
        <f t="shared" si="38"/>
        <v>5841428</v>
      </c>
      <c r="S295" s="2">
        <f t="shared" si="38"/>
        <v>29945</v>
      </c>
      <c r="T295" s="2" t="str">
        <f t="shared" si="34"/>
        <v>45384本地二区-下午班</v>
      </c>
      <c r="U295" s="2">
        <f t="shared" si="35"/>
        <v>5.1263200000000002E-3</v>
      </c>
      <c r="V295" s="2" t="str">
        <f t="shared" si="36"/>
        <v>赵依然</v>
      </c>
    </row>
    <row r="296" spans="1:22" ht="16.5" x14ac:dyDescent="0.4">
      <c r="A296" s="4" t="s">
        <v>93</v>
      </c>
      <c r="B296" s="70" t="s">
        <v>104</v>
      </c>
      <c r="C296" s="4" t="s">
        <v>133</v>
      </c>
      <c r="D296" s="4">
        <v>178</v>
      </c>
      <c r="E296" s="4">
        <v>117</v>
      </c>
      <c r="F296" s="5">
        <v>37072</v>
      </c>
      <c r="G296" s="5">
        <v>115970</v>
      </c>
      <c r="H296" s="6">
        <v>-78898</v>
      </c>
      <c r="I296" s="4" t="s">
        <v>101</v>
      </c>
      <c r="J296" s="5">
        <v>4050578</v>
      </c>
      <c r="K296" s="5">
        <v>37072</v>
      </c>
      <c r="L296" s="5">
        <v>8091478</v>
      </c>
      <c r="M296" s="5">
        <v>39936</v>
      </c>
      <c r="N296" s="7" t="s">
        <v>167</v>
      </c>
      <c r="O296" s="7" t="s">
        <v>645</v>
      </c>
      <c r="P296" s="11">
        <v>45385</v>
      </c>
      <c r="Q296" s="2" t="str">
        <f t="shared" si="32"/>
        <v>45385早班本地一区</v>
      </c>
      <c r="R296" s="2">
        <f t="shared" si="38"/>
        <v>8091478</v>
      </c>
      <c r="S296" s="2">
        <f t="shared" si="38"/>
        <v>39936</v>
      </c>
      <c r="T296" s="2" t="str">
        <f t="shared" si="34"/>
        <v>45385本地一区-早班</v>
      </c>
      <c r="U296" s="2">
        <f t="shared" si="35"/>
        <v>4.9355600000000003E-3</v>
      </c>
      <c r="V296" s="2" t="str">
        <f t="shared" si="36"/>
        <v>林好男</v>
      </c>
    </row>
    <row r="297" spans="1:22" ht="16.5" x14ac:dyDescent="0.4">
      <c r="A297" s="4" t="s">
        <v>93</v>
      </c>
      <c r="B297" s="70" t="s">
        <v>105</v>
      </c>
      <c r="C297" s="4" t="s">
        <v>110</v>
      </c>
      <c r="D297" s="4">
        <v>225</v>
      </c>
      <c r="E297" s="4">
        <v>132</v>
      </c>
      <c r="F297" s="5">
        <v>35620</v>
      </c>
      <c r="G297" s="5">
        <v>93717</v>
      </c>
      <c r="H297" s="6">
        <v>-58097</v>
      </c>
      <c r="I297" s="4" t="s">
        <v>101</v>
      </c>
      <c r="J297" s="5">
        <v>5834516</v>
      </c>
      <c r="K297" s="5">
        <v>35620</v>
      </c>
      <c r="L297" s="5">
        <v>9023572</v>
      </c>
      <c r="M297" s="5">
        <v>37936</v>
      </c>
      <c r="N297" s="7" t="s">
        <v>412</v>
      </c>
      <c r="O297" s="7" t="s">
        <v>646</v>
      </c>
      <c r="P297" s="11">
        <v>45385</v>
      </c>
      <c r="Q297" s="2" t="str">
        <f t="shared" si="32"/>
        <v>45385早班本地二区</v>
      </c>
      <c r="R297" s="2">
        <f t="shared" si="38"/>
        <v>9023572</v>
      </c>
      <c r="S297" s="2">
        <f t="shared" si="38"/>
        <v>37936</v>
      </c>
      <c r="T297" s="2" t="str">
        <f t="shared" si="34"/>
        <v>45385本地二区-早班</v>
      </c>
      <c r="U297" s="2">
        <f t="shared" si="35"/>
        <v>4.2040999999999997E-3</v>
      </c>
      <c r="V297" s="2" t="str">
        <f t="shared" si="36"/>
        <v>赵勇</v>
      </c>
    </row>
    <row r="298" spans="1:22" ht="16.5" x14ac:dyDescent="0.4">
      <c r="A298" s="4" t="s">
        <v>92</v>
      </c>
      <c r="B298" s="70" t="s">
        <v>104</v>
      </c>
      <c r="C298" s="4" t="s">
        <v>122</v>
      </c>
      <c r="D298" s="4">
        <v>155</v>
      </c>
      <c r="E298" s="4">
        <v>101</v>
      </c>
      <c r="F298" s="5">
        <v>39527</v>
      </c>
      <c r="G298" s="5">
        <v>115970</v>
      </c>
      <c r="H298" s="6">
        <v>-76443</v>
      </c>
      <c r="I298" s="4" t="s">
        <v>101</v>
      </c>
      <c r="J298" s="5">
        <v>6178844</v>
      </c>
      <c r="K298" s="5">
        <v>39527</v>
      </c>
      <c r="L298" s="5">
        <v>9265537</v>
      </c>
      <c r="M298" s="5">
        <v>43277</v>
      </c>
      <c r="N298" s="7" t="s">
        <v>419</v>
      </c>
      <c r="O298" s="7" t="s">
        <v>647</v>
      </c>
      <c r="P298" s="11">
        <v>45385</v>
      </c>
      <c r="Q298" s="2" t="str">
        <f t="shared" si="32"/>
        <v>45385下午班本地一区</v>
      </c>
      <c r="R298" s="2">
        <f t="shared" si="38"/>
        <v>9265537</v>
      </c>
      <c r="S298" s="2">
        <f t="shared" si="38"/>
        <v>43277</v>
      </c>
      <c r="T298" s="2" t="str">
        <f t="shared" si="34"/>
        <v>45385本地一区-下午班</v>
      </c>
      <c r="U298" s="2">
        <f t="shared" si="35"/>
        <v>4.6707500000000004E-3</v>
      </c>
      <c r="V298" s="2" t="str">
        <f t="shared" si="36"/>
        <v>赵依然</v>
      </c>
    </row>
    <row r="299" spans="1:22" ht="16.5" x14ac:dyDescent="0.4">
      <c r="A299" s="4" t="s">
        <v>92</v>
      </c>
      <c r="B299" s="70" t="s">
        <v>105</v>
      </c>
      <c r="C299" s="4" t="s">
        <v>158</v>
      </c>
      <c r="D299" s="4">
        <v>181</v>
      </c>
      <c r="E299" s="4">
        <v>102</v>
      </c>
      <c r="F299" s="5">
        <v>29294</v>
      </c>
      <c r="G299" s="5">
        <v>93717</v>
      </c>
      <c r="H299" s="6">
        <v>-64423</v>
      </c>
      <c r="I299" s="4" t="s">
        <v>101</v>
      </c>
      <c r="J299" s="5">
        <v>2530778</v>
      </c>
      <c r="K299" s="5">
        <v>29294</v>
      </c>
      <c r="L299" s="5">
        <v>4723095</v>
      </c>
      <c r="M299" s="5">
        <v>32107</v>
      </c>
      <c r="N299" s="7" t="s">
        <v>128</v>
      </c>
      <c r="O299" s="7" t="s">
        <v>648</v>
      </c>
      <c r="P299" s="11">
        <v>45385</v>
      </c>
      <c r="Q299" s="2" t="str">
        <f t="shared" si="32"/>
        <v>45385下午班本地二区</v>
      </c>
      <c r="R299" s="2">
        <f t="shared" si="38"/>
        <v>4723095</v>
      </c>
      <c r="S299" s="2">
        <f t="shared" si="38"/>
        <v>32107</v>
      </c>
      <c r="T299" s="2" t="str">
        <f t="shared" si="34"/>
        <v>45385本地二区-下午班</v>
      </c>
      <c r="U299" s="2">
        <f t="shared" si="35"/>
        <v>6.7978700000000001E-3</v>
      </c>
      <c r="V299" s="2" t="str">
        <f t="shared" si="36"/>
        <v>李晓晗</v>
      </c>
    </row>
    <row r="300" spans="1:22" ht="16.5" x14ac:dyDescent="0.4">
      <c r="A300" s="4" t="s">
        <v>93</v>
      </c>
      <c r="B300" s="70" t="s">
        <v>178</v>
      </c>
      <c r="C300" s="4" t="s">
        <v>110</v>
      </c>
      <c r="D300" s="4">
        <v>248</v>
      </c>
      <c r="E300" s="4">
        <v>161</v>
      </c>
      <c r="F300" s="5">
        <v>45538</v>
      </c>
      <c r="G300" s="5">
        <v>209686</v>
      </c>
      <c r="H300" s="6">
        <v>-164148</v>
      </c>
      <c r="I300" s="4" t="s">
        <v>101</v>
      </c>
      <c r="J300" s="5">
        <v>7380206</v>
      </c>
      <c r="K300" s="5">
        <v>45538</v>
      </c>
      <c r="L300" s="5">
        <v>12516394</v>
      </c>
      <c r="M300" s="5">
        <v>47017</v>
      </c>
      <c r="N300" s="7" t="s">
        <v>411</v>
      </c>
      <c r="O300" s="7" t="s">
        <v>649</v>
      </c>
      <c r="P300" s="11">
        <v>45386</v>
      </c>
      <c r="Q300" s="2" t="str">
        <f t="shared" si="32"/>
        <v>45386早班本地所有</v>
      </c>
      <c r="R300" s="2">
        <f t="shared" si="38"/>
        <v>12516394</v>
      </c>
      <c r="S300" s="2">
        <f t="shared" si="38"/>
        <v>47017</v>
      </c>
      <c r="T300" s="2" t="str">
        <f t="shared" si="34"/>
        <v>45386本地所有-早班</v>
      </c>
      <c r="U300" s="2">
        <f t="shared" si="35"/>
        <v>3.7564299999999998E-3</v>
      </c>
      <c r="V300" s="2" t="str">
        <f t="shared" si="36"/>
        <v>赵勇</v>
      </c>
    </row>
    <row r="301" spans="1:22" ht="16.5" x14ac:dyDescent="0.4">
      <c r="A301" s="4" t="s">
        <v>92</v>
      </c>
      <c r="B301" s="70" t="s">
        <v>178</v>
      </c>
      <c r="C301" s="4" t="s">
        <v>133</v>
      </c>
      <c r="D301" s="4">
        <v>214</v>
      </c>
      <c r="E301" s="4">
        <v>157</v>
      </c>
      <c r="F301" s="5">
        <v>53601</v>
      </c>
      <c r="G301" s="5">
        <v>209686</v>
      </c>
      <c r="H301" s="6">
        <v>-156085</v>
      </c>
      <c r="I301" s="4" t="s">
        <v>101</v>
      </c>
      <c r="J301" s="5">
        <v>7270811</v>
      </c>
      <c r="K301" s="5">
        <v>53601</v>
      </c>
      <c r="L301" s="5">
        <v>13740668</v>
      </c>
      <c r="M301" s="5">
        <v>59500</v>
      </c>
      <c r="N301" s="7" t="s">
        <v>438</v>
      </c>
      <c r="O301" s="7" t="s">
        <v>650</v>
      </c>
      <c r="P301" s="11">
        <v>45386</v>
      </c>
      <c r="Q301" s="2" t="str">
        <f t="shared" si="32"/>
        <v>45386下午班本地所有</v>
      </c>
      <c r="R301" s="2">
        <f t="shared" si="38"/>
        <v>13740668</v>
      </c>
      <c r="S301" s="2">
        <f t="shared" si="38"/>
        <v>59500</v>
      </c>
      <c r="T301" s="2" t="str">
        <f t="shared" si="34"/>
        <v>45386本地所有-下午班</v>
      </c>
      <c r="U301" s="2">
        <f t="shared" si="35"/>
        <v>4.3302100000000001E-3</v>
      </c>
      <c r="V301" s="2" t="str">
        <f t="shared" si="36"/>
        <v>林好男</v>
      </c>
    </row>
    <row r="302" spans="1:22" ht="16.5" x14ac:dyDescent="0.4">
      <c r="A302" s="4" t="s">
        <v>93</v>
      </c>
      <c r="B302" s="70" t="s">
        <v>104</v>
      </c>
      <c r="C302" s="4" t="s">
        <v>111</v>
      </c>
      <c r="D302" s="4">
        <v>153</v>
      </c>
      <c r="E302" s="4">
        <v>109</v>
      </c>
      <c r="F302" s="5">
        <v>37058</v>
      </c>
      <c r="G302" s="5">
        <v>115970</v>
      </c>
      <c r="H302" s="6">
        <v>-78912</v>
      </c>
      <c r="I302" s="4" t="s">
        <v>101</v>
      </c>
      <c r="J302" s="5">
        <v>7474250</v>
      </c>
      <c r="K302" s="5">
        <v>37058</v>
      </c>
      <c r="L302" s="5">
        <v>11287366</v>
      </c>
      <c r="M302" s="5">
        <v>38277</v>
      </c>
      <c r="N302" s="7" t="s">
        <v>407</v>
      </c>
      <c r="O302" s="7" t="s">
        <v>651</v>
      </c>
      <c r="P302" s="11">
        <v>45387</v>
      </c>
      <c r="Q302" s="2" t="str">
        <f t="shared" si="32"/>
        <v>45387早班本地一区</v>
      </c>
      <c r="R302" s="2">
        <f t="shared" si="38"/>
        <v>11287366</v>
      </c>
      <c r="S302" s="2">
        <f t="shared" si="38"/>
        <v>38277</v>
      </c>
      <c r="T302" s="2" t="str">
        <f t="shared" si="34"/>
        <v>45387本地一区-早班</v>
      </c>
      <c r="U302" s="2">
        <f t="shared" si="35"/>
        <v>3.39114E-3</v>
      </c>
      <c r="V302" s="2" t="str">
        <f t="shared" si="36"/>
        <v>陈楠</v>
      </c>
    </row>
    <row r="303" spans="1:22" ht="16.5" x14ac:dyDescent="0.4">
      <c r="A303" s="4" t="s">
        <v>93</v>
      </c>
      <c r="B303" s="70" t="s">
        <v>105</v>
      </c>
      <c r="C303" s="4" t="s">
        <v>158</v>
      </c>
      <c r="D303" s="4">
        <v>174</v>
      </c>
      <c r="E303" s="4">
        <v>104</v>
      </c>
      <c r="F303" s="5">
        <v>22600</v>
      </c>
      <c r="G303" s="5">
        <v>93717</v>
      </c>
      <c r="H303" s="6">
        <v>-71117</v>
      </c>
      <c r="I303" s="4" t="s">
        <v>101</v>
      </c>
      <c r="J303" s="5">
        <v>3729040</v>
      </c>
      <c r="K303" s="5">
        <v>22600</v>
      </c>
      <c r="L303" s="5">
        <v>6569722</v>
      </c>
      <c r="M303" s="5">
        <v>24097</v>
      </c>
      <c r="N303" s="7" t="s">
        <v>412</v>
      </c>
      <c r="O303" s="7" t="s">
        <v>652</v>
      </c>
      <c r="P303" s="11">
        <v>45387</v>
      </c>
      <c r="Q303" s="2" t="str">
        <f t="shared" si="32"/>
        <v>45387早班本地二区</v>
      </c>
      <c r="R303" s="2">
        <f t="shared" si="38"/>
        <v>6569722</v>
      </c>
      <c r="S303" s="2">
        <f t="shared" si="38"/>
        <v>24097</v>
      </c>
      <c r="T303" s="2" t="str">
        <f t="shared" si="34"/>
        <v>45387本地二区-早班</v>
      </c>
      <c r="U303" s="2">
        <f t="shared" si="35"/>
        <v>3.66789E-3</v>
      </c>
      <c r="V303" s="2" t="str">
        <f t="shared" si="36"/>
        <v>李晓晗</v>
      </c>
    </row>
    <row r="304" spans="1:22" ht="16.5" x14ac:dyDescent="0.4">
      <c r="A304" s="4" t="s">
        <v>92</v>
      </c>
      <c r="B304" s="70" t="s">
        <v>178</v>
      </c>
      <c r="C304" s="4" t="s">
        <v>122</v>
      </c>
      <c r="D304" s="4">
        <v>170</v>
      </c>
      <c r="E304" s="4">
        <v>102</v>
      </c>
      <c r="F304" s="5">
        <v>42119</v>
      </c>
      <c r="G304" s="5">
        <v>209686</v>
      </c>
      <c r="H304" s="6">
        <v>-167567</v>
      </c>
      <c r="I304" s="4" t="s">
        <v>101</v>
      </c>
      <c r="J304" s="5">
        <v>4872091</v>
      </c>
      <c r="K304" s="5">
        <v>42119</v>
      </c>
      <c r="L304" s="5">
        <v>8090669</v>
      </c>
      <c r="M304" s="5">
        <v>46249</v>
      </c>
      <c r="N304" s="7" t="s">
        <v>143</v>
      </c>
      <c r="O304" s="7" t="s">
        <v>653</v>
      </c>
      <c r="P304" s="11">
        <v>45387</v>
      </c>
      <c r="Q304" s="2" t="str">
        <f t="shared" si="32"/>
        <v>45387下午班本地所有</v>
      </c>
      <c r="R304" s="2">
        <f t="shared" si="38"/>
        <v>8090669</v>
      </c>
      <c r="S304" s="2">
        <f t="shared" si="38"/>
        <v>46249</v>
      </c>
      <c r="T304" s="2" t="str">
        <f t="shared" si="34"/>
        <v>45387本地所有-下午班</v>
      </c>
      <c r="U304" s="2">
        <f t="shared" si="35"/>
        <v>5.7163400000000003E-3</v>
      </c>
      <c r="V304" s="2" t="str">
        <f t="shared" si="36"/>
        <v>赵依然</v>
      </c>
    </row>
    <row r="305" spans="1:22" ht="16.5" x14ac:dyDescent="0.4">
      <c r="A305" s="4" t="s">
        <v>93</v>
      </c>
      <c r="B305" s="70" t="s">
        <v>104</v>
      </c>
      <c r="C305" s="4" t="s">
        <v>133</v>
      </c>
      <c r="D305" s="4">
        <v>121</v>
      </c>
      <c r="E305" s="4">
        <v>96</v>
      </c>
      <c r="F305" s="5">
        <v>33147</v>
      </c>
      <c r="G305" s="5">
        <v>115970</v>
      </c>
      <c r="H305" s="6">
        <v>-82823</v>
      </c>
      <c r="I305" s="4" t="s">
        <v>101</v>
      </c>
      <c r="J305" s="5">
        <v>5348571</v>
      </c>
      <c r="K305" s="5">
        <v>33147</v>
      </c>
      <c r="L305" s="5">
        <v>8908184</v>
      </c>
      <c r="M305" s="5">
        <v>36183</v>
      </c>
      <c r="N305" s="7" t="s">
        <v>411</v>
      </c>
      <c r="O305" s="7" t="s">
        <v>655</v>
      </c>
      <c r="P305" s="11">
        <v>45388</v>
      </c>
      <c r="Q305" s="2" t="str">
        <f t="shared" si="32"/>
        <v>45388早班本地一区</v>
      </c>
      <c r="R305" s="2">
        <f t="shared" si="38"/>
        <v>8908184</v>
      </c>
      <c r="S305" s="2">
        <f t="shared" si="38"/>
        <v>36183</v>
      </c>
      <c r="T305" s="2" t="str">
        <f t="shared" si="34"/>
        <v>45388本地一区-早班</v>
      </c>
      <c r="U305" s="2">
        <f t="shared" si="35"/>
        <v>4.0617700000000001E-3</v>
      </c>
      <c r="V305" s="2" t="str">
        <f t="shared" si="36"/>
        <v>林好男</v>
      </c>
    </row>
    <row r="306" spans="1:22" ht="16.5" x14ac:dyDescent="0.4">
      <c r="A306" s="4" t="s">
        <v>93</v>
      </c>
      <c r="B306" s="70" t="s">
        <v>105</v>
      </c>
      <c r="C306" s="4" t="s">
        <v>111</v>
      </c>
      <c r="D306" s="4">
        <v>151</v>
      </c>
      <c r="E306" s="4">
        <v>94</v>
      </c>
      <c r="F306" s="5">
        <v>26085</v>
      </c>
      <c r="G306" s="5">
        <v>93717</v>
      </c>
      <c r="H306" s="6">
        <v>-67632</v>
      </c>
      <c r="I306" s="4" t="s">
        <v>101</v>
      </c>
      <c r="J306" s="5">
        <v>6835985</v>
      </c>
      <c r="K306" s="5">
        <v>26085</v>
      </c>
      <c r="L306" s="5">
        <v>8960171</v>
      </c>
      <c r="M306" s="5">
        <v>26450</v>
      </c>
      <c r="N306" s="7" t="s">
        <v>654</v>
      </c>
      <c r="O306" s="7" t="s">
        <v>656</v>
      </c>
      <c r="P306" s="11">
        <v>45388</v>
      </c>
      <c r="Q306" s="2" t="str">
        <f t="shared" si="32"/>
        <v>45388早班本地二区</v>
      </c>
      <c r="R306" s="2">
        <f t="shared" ref="R306:S321" si="39">L306</f>
        <v>8960171</v>
      </c>
      <c r="S306" s="2">
        <f t="shared" si="39"/>
        <v>26450</v>
      </c>
      <c r="T306" s="2" t="str">
        <f t="shared" si="34"/>
        <v>45388本地二区-早班</v>
      </c>
      <c r="U306" s="2">
        <f t="shared" si="35"/>
        <v>2.9519500000000001E-3</v>
      </c>
      <c r="V306" s="2" t="str">
        <f t="shared" si="36"/>
        <v>陈楠</v>
      </c>
    </row>
    <row r="307" spans="1:22" ht="16.5" x14ac:dyDescent="0.4">
      <c r="A307" s="4" t="s">
        <v>92</v>
      </c>
      <c r="B307" s="70" t="s">
        <v>178</v>
      </c>
      <c r="C307" s="4" t="s">
        <v>158</v>
      </c>
      <c r="D307" s="4">
        <v>188</v>
      </c>
      <c r="E307" s="4">
        <v>103</v>
      </c>
      <c r="F307" s="5">
        <v>53817</v>
      </c>
      <c r="G307" s="5">
        <v>209686</v>
      </c>
      <c r="H307" s="6">
        <v>-155869</v>
      </c>
      <c r="I307" s="4" t="s">
        <v>101</v>
      </c>
      <c r="J307" s="5">
        <v>4963781</v>
      </c>
      <c r="K307" s="5">
        <v>53817</v>
      </c>
      <c r="L307" s="5">
        <v>8173514</v>
      </c>
      <c r="M307" s="5">
        <v>58440</v>
      </c>
      <c r="N307" s="7" t="s">
        <v>114</v>
      </c>
      <c r="O307" s="7" t="s">
        <v>657</v>
      </c>
      <c r="P307" s="11">
        <v>45388</v>
      </c>
      <c r="Q307" s="2" t="str">
        <f t="shared" si="32"/>
        <v>45388下午班本地所有</v>
      </c>
      <c r="R307" s="2">
        <f t="shared" si="39"/>
        <v>8173514</v>
      </c>
      <c r="S307" s="2">
        <f t="shared" si="39"/>
        <v>58440</v>
      </c>
      <c r="T307" s="2" t="str">
        <f t="shared" si="34"/>
        <v>45388本地所有-下午班</v>
      </c>
      <c r="U307" s="2">
        <f t="shared" si="35"/>
        <v>7.1499199999999997E-3</v>
      </c>
      <c r="V307" s="2" t="str">
        <f t="shared" si="36"/>
        <v>李晓晗</v>
      </c>
    </row>
    <row r="308" spans="1:22" ht="16.5" x14ac:dyDescent="0.4">
      <c r="A308" s="4" t="s">
        <v>93</v>
      </c>
      <c r="B308" s="70" t="s">
        <v>104</v>
      </c>
      <c r="C308" s="4" t="s">
        <v>133</v>
      </c>
      <c r="D308" s="4">
        <v>143</v>
      </c>
      <c r="E308" s="4">
        <v>97</v>
      </c>
      <c r="F308" s="5">
        <v>35001</v>
      </c>
      <c r="G308" s="5">
        <v>115970</v>
      </c>
      <c r="H308" s="6">
        <v>-80969</v>
      </c>
      <c r="I308" s="4" t="s">
        <v>101</v>
      </c>
      <c r="J308" s="5">
        <v>5901535</v>
      </c>
      <c r="K308" s="5">
        <v>35001</v>
      </c>
      <c r="L308" s="5">
        <v>9900535</v>
      </c>
      <c r="M308" s="5">
        <v>37846</v>
      </c>
      <c r="N308" s="7" t="s">
        <v>165</v>
      </c>
      <c r="O308" s="7" t="s">
        <v>658</v>
      </c>
      <c r="P308" s="11">
        <v>45389</v>
      </c>
      <c r="Q308" s="2" t="str">
        <f t="shared" si="32"/>
        <v>45389早班本地一区</v>
      </c>
      <c r="R308" s="2">
        <f t="shared" si="39"/>
        <v>9900535</v>
      </c>
      <c r="S308" s="2">
        <f t="shared" si="39"/>
        <v>37846</v>
      </c>
      <c r="T308" s="2" t="str">
        <f t="shared" si="34"/>
        <v>45389本地一区-早班</v>
      </c>
      <c r="U308" s="2">
        <f t="shared" si="35"/>
        <v>3.8226200000000001E-3</v>
      </c>
      <c r="V308" s="2" t="str">
        <f t="shared" si="36"/>
        <v>林好男</v>
      </c>
    </row>
    <row r="309" spans="1:22" ht="16.5" x14ac:dyDescent="0.4">
      <c r="A309" s="4" t="s">
        <v>93</v>
      </c>
      <c r="B309" s="70" t="s">
        <v>105</v>
      </c>
      <c r="C309" s="4" t="s">
        <v>111</v>
      </c>
      <c r="D309" s="4">
        <v>159</v>
      </c>
      <c r="E309" s="4">
        <v>100</v>
      </c>
      <c r="F309" s="5">
        <v>28669</v>
      </c>
      <c r="G309" s="5">
        <v>93717</v>
      </c>
      <c r="H309" s="6">
        <v>-65048</v>
      </c>
      <c r="I309" s="4" t="s">
        <v>101</v>
      </c>
      <c r="J309" s="5">
        <v>6574827</v>
      </c>
      <c r="K309" s="5">
        <v>28669</v>
      </c>
      <c r="L309" s="5">
        <v>9392424</v>
      </c>
      <c r="M309" s="5">
        <v>29281</v>
      </c>
      <c r="N309" s="7" t="s">
        <v>610</v>
      </c>
      <c r="O309" s="7" t="s">
        <v>659</v>
      </c>
      <c r="P309" s="11">
        <v>45389</v>
      </c>
      <c r="Q309" s="2" t="str">
        <f t="shared" si="32"/>
        <v>45389早班本地二区</v>
      </c>
      <c r="R309" s="2">
        <f t="shared" si="39"/>
        <v>9392424</v>
      </c>
      <c r="S309" s="2">
        <f t="shared" si="39"/>
        <v>29281</v>
      </c>
      <c r="T309" s="2" t="str">
        <f t="shared" si="34"/>
        <v>45389本地二区-早班</v>
      </c>
      <c r="U309" s="2">
        <f t="shared" si="35"/>
        <v>3.11751E-3</v>
      </c>
      <c r="V309" s="2" t="str">
        <f t="shared" si="36"/>
        <v>陈楠</v>
      </c>
    </row>
    <row r="310" spans="1:22" ht="16.5" x14ac:dyDescent="0.4">
      <c r="A310" s="4" t="s">
        <v>92</v>
      </c>
      <c r="B310" s="70" t="s">
        <v>178</v>
      </c>
      <c r="C310" s="4" t="s">
        <v>158</v>
      </c>
      <c r="D310" s="4">
        <v>224</v>
      </c>
      <c r="E310" s="4">
        <v>126</v>
      </c>
      <c r="F310" s="5">
        <v>56079</v>
      </c>
      <c r="G310" s="5">
        <v>209686</v>
      </c>
      <c r="H310" s="6">
        <v>-153607</v>
      </c>
      <c r="I310" s="4" t="s">
        <v>101</v>
      </c>
      <c r="J310" s="5">
        <v>4965652</v>
      </c>
      <c r="K310" s="5">
        <v>56079</v>
      </c>
      <c r="L310" s="5">
        <v>8878798</v>
      </c>
      <c r="M310" s="5">
        <v>60964</v>
      </c>
      <c r="N310" s="7" t="s">
        <v>488</v>
      </c>
      <c r="O310" s="7" t="s">
        <v>660</v>
      </c>
      <c r="P310" s="11">
        <v>45389</v>
      </c>
      <c r="Q310" s="2" t="str">
        <f t="shared" si="32"/>
        <v>45389下午班本地所有</v>
      </c>
      <c r="R310" s="2">
        <f t="shared" si="39"/>
        <v>8878798</v>
      </c>
      <c r="S310" s="2">
        <f t="shared" si="39"/>
        <v>60964</v>
      </c>
      <c r="T310" s="2" t="str">
        <f t="shared" si="34"/>
        <v>45389本地所有-下午班</v>
      </c>
      <c r="U310" s="2">
        <f t="shared" si="35"/>
        <v>6.86624E-3</v>
      </c>
      <c r="V310" s="2" t="str">
        <f t="shared" si="36"/>
        <v>李晓晗</v>
      </c>
    </row>
    <row r="311" spans="1:22" ht="16.5" x14ac:dyDescent="0.4">
      <c r="A311" s="4" t="s">
        <v>93</v>
      </c>
      <c r="B311" s="70" t="s">
        <v>104</v>
      </c>
      <c r="C311" s="4" t="s">
        <v>111</v>
      </c>
      <c r="D311" s="4">
        <v>156</v>
      </c>
      <c r="E311" s="4">
        <v>100</v>
      </c>
      <c r="F311" s="5">
        <v>29528</v>
      </c>
      <c r="G311" s="5">
        <v>115970</v>
      </c>
      <c r="H311" s="6">
        <v>-86442</v>
      </c>
      <c r="I311" s="4" t="s">
        <v>101</v>
      </c>
      <c r="J311" s="5">
        <v>5592485</v>
      </c>
      <c r="K311" s="5">
        <v>29528</v>
      </c>
      <c r="L311" s="5">
        <v>8501888</v>
      </c>
      <c r="M311" s="5">
        <v>30981</v>
      </c>
      <c r="N311" s="7" t="s">
        <v>283</v>
      </c>
      <c r="O311" s="7" t="s">
        <v>666</v>
      </c>
      <c r="P311" s="11">
        <v>45390</v>
      </c>
      <c r="Q311" s="2" t="str">
        <f t="shared" si="32"/>
        <v>45390早班本地一区</v>
      </c>
      <c r="R311" s="2">
        <f t="shared" si="39"/>
        <v>8501888</v>
      </c>
      <c r="S311" s="2">
        <f t="shared" si="39"/>
        <v>30981</v>
      </c>
      <c r="T311" s="2" t="str">
        <f t="shared" si="34"/>
        <v>45390本地一区-早班</v>
      </c>
      <c r="U311" s="2">
        <f t="shared" si="35"/>
        <v>3.64401E-3</v>
      </c>
      <c r="V311" s="2" t="str">
        <f t="shared" si="36"/>
        <v>陈楠</v>
      </c>
    </row>
    <row r="312" spans="1:22" ht="16.5" x14ac:dyDescent="0.4">
      <c r="A312" s="4" t="s">
        <v>93</v>
      </c>
      <c r="B312" s="70" t="s">
        <v>105</v>
      </c>
      <c r="C312" s="4" t="s">
        <v>122</v>
      </c>
      <c r="D312" s="4">
        <v>176</v>
      </c>
      <c r="E312" s="4">
        <v>101</v>
      </c>
      <c r="F312" s="5">
        <v>20352</v>
      </c>
      <c r="G312" s="5">
        <v>93717</v>
      </c>
      <c r="H312" s="6">
        <v>-73365</v>
      </c>
      <c r="I312" s="4" t="s">
        <v>101</v>
      </c>
      <c r="J312" s="5">
        <v>1585884</v>
      </c>
      <c r="K312" s="5">
        <v>20352</v>
      </c>
      <c r="L312" s="5">
        <v>4292038</v>
      </c>
      <c r="M312" s="5">
        <v>21495</v>
      </c>
      <c r="N312" s="7" t="s">
        <v>664</v>
      </c>
      <c r="O312" s="7" t="s">
        <v>667</v>
      </c>
      <c r="P312" s="11">
        <v>45390</v>
      </c>
      <c r="Q312" s="2" t="str">
        <f t="shared" si="32"/>
        <v>45390早班本地二区</v>
      </c>
      <c r="R312" s="2">
        <f t="shared" si="39"/>
        <v>4292038</v>
      </c>
      <c r="S312" s="2">
        <f t="shared" si="39"/>
        <v>21495</v>
      </c>
      <c r="T312" s="2" t="str">
        <f t="shared" si="34"/>
        <v>45390本地二区-早班</v>
      </c>
      <c r="U312" s="2">
        <f t="shared" si="35"/>
        <v>5.0081099999999996E-3</v>
      </c>
      <c r="V312" s="2" t="str">
        <f t="shared" si="36"/>
        <v>赵依然</v>
      </c>
    </row>
    <row r="313" spans="1:22" ht="16.5" x14ac:dyDescent="0.4">
      <c r="A313" s="4" t="s">
        <v>92</v>
      </c>
      <c r="B313" s="70" t="s">
        <v>104</v>
      </c>
      <c r="C313" s="4" t="s">
        <v>110</v>
      </c>
      <c r="D313" s="4">
        <v>144</v>
      </c>
      <c r="E313" s="4">
        <v>109</v>
      </c>
      <c r="F313" s="5">
        <v>39878</v>
      </c>
      <c r="G313" s="5">
        <v>115970</v>
      </c>
      <c r="H313" s="6">
        <v>-76092</v>
      </c>
      <c r="I313" s="4" t="s">
        <v>101</v>
      </c>
      <c r="J313" s="5">
        <v>3967293</v>
      </c>
      <c r="K313" s="5">
        <v>39878</v>
      </c>
      <c r="L313" s="5">
        <v>9060561</v>
      </c>
      <c r="M313" s="5">
        <v>43160</v>
      </c>
      <c r="N313" s="7" t="s">
        <v>665</v>
      </c>
      <c r="O313" s="7" t="s">
        <v>668</v>
      </c>
      <c r="P313" s="11">
        <v>45390</v>
      </c>
      <c r="Q313" s="2" t="str">
        <f t="shared" si="32"/>
        <v>45390下午班本地一区</v>
      </c>
      <c r="R313" s="2">
        <f t="shared" si="39"/>
        <v>9060561</v>
      </c>
      <c r="S313" s="2">
        <f t="shared" si="39"/>
        <v>43160</v>
      </c>
      <c r="T313" s="2" t="str">
        <f t="shared" si="34"/>
        <v>45390本地一区-下午班</v>
      </c>
      <c r="U313" s="2">
        <f t="shared" si="35"/>
        <v>4.7635000000000004E-3</v>
      </c>
      <c r="V313" s="2" t="str">
        <f t="shared" si="36"/>
        <v>赵勇</v>
      </c>
    </row>
    <row r="314" spans="1:22" ht="16.5" x14ac:dyDescent="0.4">
      <c r="A314" s="4" t="s">
        <v>92</v>
      </c>
      <c r="B314" s="70" t="s">
        <v>105</v>
      </c>
      <c r="C314" s="4" t="s">
        <v>133</v>
      </c>
      <c r="D314" s="4">
        <v>163</v>
      </c>
      <c r="E314" s="4">
        <v>112</v>
      </c>
      <c r="F314" s="5">
        <v>31305</v>
      </c>
      <c r="G314" s="5">
        <v>93717</v>
      </c>
      <c r="H314" s="6">
        <v>-62412</v>
      </c>
      <c r="I314" s="4" t="s">
        <v>101</v>
      </c>
      <c r="J314" s="5">
        <v>3777569</v>
      </c>
      <c r="K314" s="5">
        <v>31305</v>
      </c>
      <c r="L314" s="5">
        <v>7612791</v>
      </c>
      <c r="M314" s="5">
        <v>35221</v>
      </c>
      <c r="N314" s="7" t="s">
        <v>166</v>
      </c>
      <c r="O314" s="7" t="s">
        <v>669</v>
      </c>
      <c r="P314" s="11">
        <v>45390</v>
      </c>
      <c r="Q314" s="2" t="str">
        <f t="shared" si="32"/>
        <v>45390下午班本地二区</v>
      </c>
      <c r="R314" s="2">
        <f t="shared" si="39"/>
        <v>7612791</v>
      </c>
      <c r="S314" s="2">
        <f t="shared" si="39"/>
        <v>35221</v>
      </c>
      <c r="T314" s="2" t="str">
        <f t="shared" si="34"/>
        <v>45390本地二区-下午班</v>
      </c>
      <c r="U314" s="2">
        <f t="shared" si="35"/>
        <v>4.62656E-3</v>
      </c>
      <c r="V314" s="2" t="str">
        <f t="shared" si="36"/>
        <v>林好男</v>
      </c>
    </row>
    <row r="315" spans="1:22" ht="16.5" x14ac:dyDescent="0.4">
      <c r="A315" s="4" t="s">
        <v>93</v>
      </c>
      <c r="B315" s="70" t="s">
        <v>104</v>
      </c>
      <c r="C315" s="4" t="s">
        <v>110</v>
      </c>
      <c r="D315" s="4">
        <v>161</v>
      </c>
      <c r="E315" s="4">
        <v>116</v>
      </c>
      <c r="F315" s="5">
        <v>33501</v>
      </c>
      <c r="G315" s="5">
        <v>115970</v>
      </c>
      <c r="H315" s="6">
        <v>-82469</v>
      </c>
      <c r="I315" s="4" t="s">
        <v>101</v>
      </c>
      <c r="J315" s="5">
        <v>4837651</v>
      </c>
      <c r="K315" s="5">
        <v>33501</v>
      </c>
      <c r="L315" s="5">
        <v>9051752</v>
      </c>
      <c r="M315" s="5">
        <v>36130</v>
      </c>
      <c r="N315" s="7" t="s">
        <v>467</v>
      </c>
      <c r="O315" s="7" t="s">
        <v>670</v>
      </c>
      <c r="P315" s="11">
        <v>45391</v>
      </c>
      <c r="Q315" s="2" t="str">
        <f t="shared" si="32"/>
        <v>45391早班本地一区</v>
      </c>
      <c r="R315" s="2">
        <f t="shared" si="39"/>
        <v>9051752</v>
      </c>
      <c r="S315" s="2">
        <f t="shared" si="39"/>
        <v>36130</v>
      </c>
      <c r="T315" s="2" t="str">
        <f t="shared" si="34"/>
        <v>45391本地一区-早班</v>
      </c>
      <c r="U315" s="2">
        <f t="shared" si="35"/>
        <v>3.9914900000000003E-3</v>
      </c>
      <c r="V315" s="2" t="str">
        <f t="shared" si="36"/>
        <v>赵勇</v>
      </c>
    </row>
    <row r="316" spans="1:22" ht="16.5" x14ac:dyDescent="0.4">
      <c r="A316" s="4" t="s">
        <v>93</v>
      </c>
      <c r="B316" s="70" t="s">
        <v>105</v>
      </c>
      <c r="C316" s="4" t="s">
        <v>122</v>
      </c>
      <c r="D316" s="4">
        <v>145</v>
      </c>
      <c r="E316" s="4">
        <v>104</v>
      </c>
      <c r="F316" s="5">
        <v>21447</v>
      </c>
      <c r="G316" s="5">
        <v>93717</v>
      </c>
      <c r="H316" s="6">
        <v>-72270</v>
      </c>
      <c r="I316" s="4" t="s">
        <v>101</v>
      </c>
      <c r="J316" s="5">
        <v>3984169</v>
      </c>
      <c r="K316" s="5">
        <v>21447</v>
      </c>
      <c r="L316" s="5">
        <v>6339062</v>
      </c>
      <c r="M316" s="5">
        <v>21867</v>
      </c>
      <c r="N316" s="7" t="s">
        <v>451</v>
      </c>
      <c r="O316" s="7" t="s">
        <v>671</v>
      </c>
      <c r="P316" s="11">
        <v>45391</v>
      </c>
      <c r="Q316" s="2" t="str">
        <f t="shared" si="32"/>
        <v>45391早班本地二区</v>
      </c>
      <c r="R316" s="2">
        <f t="shared" si="39"/>
        <v>6339062</v>
      </c>
      <c r="S316" s="2">
        <f t="shared" si="39"/>
        <v>21867</v>
      </c>
      <c r="T316" s="2" t="str">
        <f t="shared" si="34"/>
        <v>45391本地二区-早班</v>
      </c>
      <c r="U316" s="2">
        <f t="shared" si="35"/>
        <v>3.44956E-3</v>
      </c>
      <c r="V316" s="2" t="str">
        <f t="shared" si="36"/>
        <v>赵依然</v>
      </c>
    </row>
    <row r="317" spans="1:22" ht="16.5" x14ac:dyDescent="0.4">
      <c r="A317" s="4" t="s">
        <v>92</v>
      </c>
      <c r="B317" s="70" t="s">
        <v>104</v>
      </c>
      <c r="C317" s="4" t="s">
        <v>133</v>
      </c>
      <c r="D317" s="4">
        <v>180</v>
      </c>
      <c r="E317" s="4">
        <v>139</v>
      </c>
      <c r="F317" s="5">
        <v>49322</v>
      </c>
      <c r="G317" s="5">
        <v>115970</v>
      </c>
      <c r="H317" s="6">
        <v>-66648</v>
      </c>
      <c r="I317" s="4" t="s">
        <v>101</v>
      </c>
      <c r="J317" s="5">
        <v>6586178</v>
      </c>
      <c r="K317" s="5">
        <v>49322</v>
      </c>
      <c r="L317" s="5">
        <v>12548386</v>
      </c>
      <c r="M317" s="5">
        <v>57259</v>
      </c>
      <c r="N317" s="7" t="s">
        <v>277</v>
      </c>
      <c r="O317" s="7" t="s">
        <v>672</v>
      </c>
      <c r="P317" s="11">
        <v>45391</v>
      </c>
      <c r="Q317" s="2" t="str">
        <f t="shared" si="32"/>
        <v>45391下午班本地一区</v>
      </c>
      <c r="R317" s="2">
        <f t="shared" si="39"/>
        <v>12548386</v>
      </c>
      <c r="S317" s="2">
        <f t="shared" si="39"/>
        <v>57259</v>
      </c>
      <c r="T317" s="2" t="str">
        <f t="shared" si="34"/>
        <v>45391本地一区-下午班</v>
      </c>
      <c r="U317" s="2">
        <f t="shared" si="35"/>
        <v>4.5630599999999999E-3</v>
      </c>
      <c r="V317" s="2" t="str">
        <f t="shared" si="36"/>
        <v>林好男</v>
      </c>
    </row>
    <row r="318" spans="1:22" ht="16.5" x14ac:dyDescent="0.4">
      <c r="A318" s="4" t="s">
        <v>92</v>
      </c>
      <c r="B318" s="70" t="s">
        <v>105</v>
      </c>
      <c r="C318" s="4" t="s">
        <v>158</v>
      </c>
      <c r="D318" s="4">
        <v>174</v>
      </c>
      <c r="E318" s="4">
        <v>106</v>
      </c>
      <c r="F318" s="5">
        <v>31418</v>
      </c>
      <c r="G318" s="5">
        <v>93717</v>
      </c>
      <c r="H318" s="6">
        <v>-62299</v>
      </c>
      <c r="I318" s="4" t="s">
        <v>101</v>
      </c>
      <c r="J318" s="5">
        <v>2356583</v>
      </c>
      <c r="K318" s="5">
        <v>31418</v>
      </c>
      <c r="L318" s="5">
        <v>4616061</v>
      </c>
      <c r="M318" s="5">
        <v>33938</v>
      </c>
      <c r="N318" s="7" t="s">
        <v>405</v>
      </c>
      <c r="O318" s="7" t="s">
        <v>673</v>
      </c>
      <c r="P318" s="11">
        <v>45391</v>
      </c>
      <c r="Q318" s="2" t="str">
        <f t="shared" si="32"/>
        <v>45391下午班本地二区</v>
      </c>
      <c r="R318" s="2">
        <f t="shared" si="39"/>
        <v>4616061</v>
      </c>
      <c r="S318" s="2">
        <f t="shared" si="39"/>
        <v>33938</v>
      </c>
      <c r="T318" s="2" t="str">
        <f t="shared" si="34"/>
        <v>45391本地二区-下午班</v>
      </c>
      <c r="U318" s="2">
        <f t="shared" si="35"/>
        <v>7.3521599999999999E-3</v>
      </c>
      <c r="V318" s="2" t="str">
        <f t="shared" si="36"/>
        <v>李晓晗</v>
      </c>
    </row>
    <row r="319" spans="1:22" ht="16.5" x14ac:dyDescent="0.4">
      <c r="A319" s="4" t="s">
        <v>93</v>
      </c>
      <c r="B319" s="70" t="s">
        <v>104</v>
      </c>
      <c r="C319" s="4" t="s">
        <v>110</v>
      </c>
      <c r="D319" s="4">
        <v>162</v>
      </c>
      <c r="E319" s="4">
        <v>118</v>
      </c>
      <c r="F319" s="5">
        <v>32788</v>
      </c>
      <c r="G319" s="5">
        <v>115970</v>
      </c>
      <c r="H319" s="6">
        <v>-83182</v>
      </c>
      <c r="I319" s="4" t="s">
        <v>101</v>
      </c>
      <c r="J319" s="5">
        <v>5308283</v>
      </c>
      <c r="K319" s="5">
        <v>32788</v>
      </c>
      <c r="L319" s="5">
        <v>8837197</v>
      </c>
      <c r="M319" s="5">
        <v>34435</v>
      </c>
      <c r="N319" s="7" t="s">
        <v>411</v>
      </c>
      <c r="O319" s="7" t="s">
        <v>674</v>
      </c>
      <c r="P319" s="11">
        <v>45392</v>
      </c>
      <c r="Q319" s="2" t="str">
        <f t="shared" si="32"/>
        <v>45392早班本地一区</v>
      </c>
      <c r="R319" s="2">
        <f t="shared" si="39"/>
        <v>8837197</v>
      </c>
      <c r="S319" s="2">
        <f t="shared" si="39"/>
        <v>34435</v>
      </c>
      <c r="T319" s="2" t="str">
        <f t="shared" si="34"/>
        <v>45392本地一区-早班</v>
      </c>
      <c r="U319" s="2">
        <f t="shared" si="35"/>
        <v>3.8966000000000001E-3</v>
      </c>
      <c r="V319" s="2" t="str">
        <f t="shared" si="36"/>
        <v>赵勇</v>
      </c>
    </row>
    <row r="320" spans="1:22" ht="16.5" x14ac:dyDescent="0.4">
      <c r="A320" s="4" t="s">
        <v>93</v>
      </c>
      <c r="B320" s="70" t="s">
        <v>105</v>
      </c>
      <c r="C320" s="4" t="s">
        <v>122</v>
      </c>
      <c r="D320" s="4">
        <v>150</v>
      </c>
      <c r="E320" s="4">
        <v>103</v>
      </c>
      <c r="F320" s="5">
        <v>22440</v>
      </c>
      <c r="G320" s="5">
        <v>93717</v>
      </c>
      <c r="H320" s="6">
        <v>-71277</v>
      </c>
      <c r="I320" s="4" t="s">
        <v>101</v>
      </c>
      <c r="J320" s="5">
        <v>3886752</v>
      </c>
      <c r="K320" s="5">
        <v>22440</v>
      </c>
      <c r="L320" s="5">
        <v>6435443</v>
      </c>
      <c r="M320" s="5">
        <v>23818</v>
      </c>
      <c r="N320" s="7" t="s">
        <v>198</v>
      </c>
      <c r="O320" s="7" t="s">
        <v>675</v>
      </c>
      <c r="P320" s="11">
        <v>45392</v>
      </c>
      <c r="Q320" s="2" t="str">
        <f t="shared" si="32"/>
        <v>45392早班本地二区</v>
      </c>
      <c r="R320" s="2">
        <f t="shared" si="39"/>
        <v>6435443</v>
      </c>
      <c r="S320" s="2">
        <f t="shared" si="39"/>
        <v>23818</v>
      </c>
      <c r="T320" s="2" t="str">
        <f t="shared" si="34"/>
        <v>45392本地二区-早班</v>
      </c>
      <c r="U320" s="2">
        <f t="shared" si="35"/>
        <v>3.7010699999999999E-3</v>
      </c>
      <c r="V320" s="2" t="str">
        <f t="shared" si="36"/>
        <v>赵依然</v>
      </c>
    </row>
    <row r="321" spans="1:22" ht="16.5" x14ac:dyDescent="0.4">
      <c r="A321" s="4" t="s">
        <v>92</v>
      </c>
      <c r="B321" s="70" t="s">
        <v>104</v>
      </c>
      <c r="C321" s="4" t="s">
        <v>158</v>
      </c>
      <c r="D321" s="4">
        <v>170</v>
      </c>
      <c r="E321" s="4">
        <v>102</v>
      </c>
      <c r="F321" s="5">
        <v>39380</v>
      </c>
      <c r="G321" s="5">
        <v>115970</v>
      </c>
      <c r="H321" s="6">
        <v>-76590</v>
      </c>
      <c r="I321" s="4" t="s">
        <v>101</v>
      </c>
      <c r="J321" s="5">
        <v>2856948</v>
      </c>
      <c r="K321" s="5">
        <v>39380</v>
      </c>
      <c r="L321" s="5">
        <v>5697432</v>
      </c>
      <c r="M321" s="5">
        <v>43619</v>
      </c>
      <c r="N321" s="7" t="s">
        <v>676</v>
      </c>
      <c r="O321" s="7" t="s">
        <v>677</v>
      </c>
      <c r="P321" s="11">
        <v>45392</v>
      </c>
      <c r="Q321" s="2" t="str">
        <f t="shared" si="32"/>
        <v>45392下午班本地一区</v>
      </c>
      <c r="R321" s="2">
        <f t="shared" si="39"/>
        <v>5697432</v>
      </c>
      <c r="S321" s="2">
        <f t="shared" si="39"/>
        <v>43619</v>
      </c>
      <c r="T321" s="2" t="str">
        <f t="shared" si="34"/>
        <v>45392本地一区-下午班</v>
      </c>
      <c r="U321" s="2">
        <f t="shared" si="35"/>
        <v>7.6559100000000001E-3</v>
      </c>
      <c r="V321" s="2" t="str">
        <f t="shared" si="36"/>
        <v>李晓晗</v>
      </c>
    </row>
    <row r="322" spans="1:22" ht="16.5" x14ac:dyDescent="0.4">
      <c r="A322" s="4" t="s">
        <v>92</v>
      </c>
      <c r="B322" s="70" t="s">
        <v>105</v>
      </c>
      <c r="C322" s="4" t="s">
        <v>133</v>
      </c>
      <c r="D322" s="4">
        <v>187</v>
      </c>
      <c r="E322" s="4">
        <v>136</v>
      </c>
      <c r="F322" s="5">
        <v>35208</v>
      </c>
      <c r="G322" s="5">
        <v>93717</v>
      </c>
      <c r="H322" s="6">
        <v>-58509</v>
      </c>
      <c r="I322" s="4" t="s">
        <v>101</v>
      </c>
      <c r="J322" s="5">
        <v>5007999</v>
      </c>
      <c r="K322" s="5">
        <v>35208</v>
      </c>
      <c r="L322" s="5">
        <v>8003669</v>
      </c>
      <c r="M322" s="5">
        <v>38678</v>
      </c>
      <c r="N322" s="7" t="s">
        <v>172</v>
      </c>
      <c r="O322" s="7" t="s">
        <v>678</v>
      </c>
      <c r="P322" s="11">
        <v>45392</v>
      </c>
      <c r="Q322" s="2" t="str">
        <f t="shared" ref="Q322:Q384" si="40">P322&amp;A322&amp;B322</f>
        <v>45392下午班本地二区</v>
      </c>
      <c r="R322" s="2">
        <f t="shared" ref="R322:S337" si="41">L322</f>
        <v>8003669</v>
      </c>
      <c r="S322" s="2">
        <f t="shared" si="41"/>
        <v>38678</v>
      </c>
      <c r="T322" s="2" t="str">
        <f t="shared" ref="T322:T384" si="42">P322&amp;B322&amp;"-"&amp;A322</f>
        <v>45392本地二区-下午班</v>
      </c>
      <c r="U322" s="2">
        <f t="shared" ref="U322:U384" si="43">O322*1</f>
        <v>4.8325299999999998E-3</v>
      </c>
      <c r="V322" s="2" t="str">
        <f t="shared" ref="V322:V384" si="44">C322</f>
        <v>林好男</v>
      </c>
    </row>
    <row r="323" spans="1:22" ht="16.5" x14ac:dyDescent="0.4">
      <c r="A323" s="4" t="s">
        <v>93</v>
      </c>
      <c r="B323" s="70" t="s">
        <v>104</v>
      </c>
      <c r="C323" s="4" t="s">
        <v>122</v>
      </c>
      <c r="D323" s="4">
        <v>153</v>
      </c>
      <c r="E323" s="4">
        <v>113</v>
      </c>
      <c r="F323" s="5">
        <v>35662</v>
      </c>
      <c r="G323" s="5">
        <v>115970</v>
      </c>
      <c r="H323" s="6">
        <v>-80308</v>
      </c>
      <c r="I323" s="4" t="s">
        <v>101</v>
      </c>
      <c r="J323" s="5">
        <v>4243220</v>
      </c>
      <c r="K323" s="5">
        <v>35662</v>
      </c>
      <c r="L323" s="5">
        <v>10030998</v>
      </c>
      <c r="M323" s="5">
        <v>39321</v>
      </c>
      <c r="N323" s="7" t="s">
        <v>561</v>
      </c>
      <c r="O323" s="7" t="s">
        <v>679</v>
      </c>
      <c r="P323" s="11">
        <v>45393</v>
      </c>
      <c r="Q323" s="2" t="str">
        <f t="shared" si="40"/>
        <v>45393早班本地一区</v>
      </c>
      <c r="R323" s="2">
        <f t="shared" si="41"/>
        <v>10030998</v>
      </c>
      <c r="S323" s="2">
        <f t="shared" si="41"/>
        <v>39321</v>
      </c>
      <c r="T323" s="2" t="str">
        <f t="shared" si="42"/>
        <v>45393本地一区-早班</v>
      </c>
      <c r="U323" s="2">
        <f t="shared" si="43"/>
        <v>3.9199500000000002E-3</v>
      </c>
      <c r="V323" s="2" t="str">
        <f t="shared" si="44"/>
        <v>赵依然</v>
      </c>
    </row>
    <row r="324" spans="1:22" ht="16.5" x14ac:dyDescent="0.4">
      <c r="A324" s="4" t="s">
        <v>93</v>
      </c>
      <c r="B324" s="70" t="s">
        <v>105</v>
      </c>
      <c r="C324" s="4" t="s">
        <v>110</v>
      </c>
      <c r="D324" s="4">
        <v>167</v>
      </c>
      <c r="E324" s="4">
        <v>114</v>
      </c>
      <c r="F324" s="5">
        <v>31855</v>
      </c>
      <c r="G324" s="5">
        <v>93717</v>
      </c>
      <c r="H324" s="6">
        <v>-61862</v>
      </c>
      <c r="I324" s="4" t="s">
        <v>101</v>
      </c>
      <c r="J324" s="5">
        <v>5642622</v>
      </c>
      <c r="K324" s="5">
        <v>31855</v>
      </c>
      <c r="L324" s="5">
        <v>9996035</v>
      </c>
      <c r="M324" s="5">
        <v>33406</v>
      </c>
      <c r="N324" s="7" t="s">
        <v>400</v>
      </c>
      <c r="O324" s="7" t="s">
        <v>680</v>
      </c>
      <c r="P324" s="11">
        <v>45393</v>
      </c>
      <c r="Q324" s="2" t="str">
        <f t="shared" si="40"/>
        <v>45393早班本地二区</v>
      </c>
      <c r="R324" s="2">
        <f t="shared" si="41"/>
        <v>9996035</v>
      </c>
      <c r="S324" s="2">
        <f t="shared" si="41"/>
        <v>33406</v>
      </c>
      <c r="T324" s="2" t="str">
        <f t="shared" si="42"/>
        <v>45393本地二区-早班</v>
      </c>
      <c r="U324" s="2">
        <f t="shared" si="43"/>
        <v>3.3419299999999999E-3</v>
      </c>
      <c r="V324" s="2" t="str">
        <f t="shared" si="44"/>
        <v>赵勇</v>
      </c>
    </row>
    <row r="325" spans="1:22" ht="16.5" x14ac:dyDescent="0.4">
      <c r="A325" s="4" t="s">
        <v>92</v>
      </c>
      <c r="B325" s="70" t="s">
        <v>104</v>
      </c>
      <c r="C325" s="4" t="s">
        <v>158</v>
      </c>
      <c r="D325" s="4">
        <v>171</v>
      </c>
      <c r="E325" s="4">
        <v>105</v>
      </c>
      <c r="F325" s="5">
        <v>37024</v>
      </c>
      <c r="G325" s="5">
        <v>115970</v>
      </c>
      <c r="H325" s="6">
        <v>-78946</v>
      </c>
      <c r="I325" s="4" t="s">
        <v>101</v>
      </c>
      <c r="J325" s="5">
        <v>2645749</v>
      </c>
      <c r="K325" s="5">
        <v>37024</v>
      </c>
      <c r="L325" s="5">
        <v>5812133</v>
      </c>
      <c r="M325" s="5">
        <v>40500</v>
      </c>
      <c r="N325" s="7" t="s">
        <v>306</v>
      </c>
      <c r="O325" s="7" t="s">
        <v>681</v>
      </c>
      <c r="P325" s="11">
        <v>45393</v>
      </c>
      <c r="Q325" s="2" t="str">
        <f t="shared" si="40"/>
        <v>45393下午班本地一区</v>
      </c>
      <c r="R325" s="2">
        <f t="shared" si="41"/>
        <v>5812133</v>
      </c>
      <c r="S325" s="2">
        <f t="shared" si="41"/>
        <v>40500</v>
      </c>
      <c r="T325" s="2" t="str">
        <f t="shared" si="42"/>
        <v>45393本地一区-下午班</v>
      </c>
      <c r="U325" s="2">
        <f t="shared" si="43"/>
        <v>6.96818E-3</v>
      </c>
      <c r="V325" s="2" t="str">
        <f t="shared" si="44"/>
        <v>李晓晗</v>
      </c>
    </row>
    <row r="326" spans="1:22" ht="16.5" x14ac:dyDescent="0.4">
      <c r="A326" s="4" t="s">
        <v>92</v>
      </c>
      <c r="B326" s="70" t="s">
        <v>105</v>
      </c>
      <c r="C326" s="4" t="s">
        <v>111</v>
      </c>
      <c r="D326" s="4">
        <v>153</v>
      </c>
      <c r="E326" s="4">
        <v>110</v>
      </c>
      <c r="F326" s="5">
        <v>25586</v>
      </c>
      <c r="G326" s="5">
        <v>93717</v>
      </c>
      <c r="H326" s="6">
        <v>-68131</v>
      </c>
      <c r="I326" s="4" t="s">
        <v>101</v>
      </c>
      <c r="J326" s="5">
        <v>2573241</v>
      </c>
      <c r="K326" s="5">
        <v>25586</v>
      </c>
      <c r="L326" s="5">
        <v>4584996</v>
      </c>
      <c r="M326" s="5">
        <v>27394</v>
      </c>
      <c r="N326" s="7" t="s">
        <v>475</v>
      </c>
      <c r="O326" s="7" t="s">
        <v>682</v>
      </c>
      <c r="P326" s="11">
        <v>45393</v>
      </c>
      <c r="Q326" s="2" t="str">
        <f t="shared" si="40"/>
        <v>45393下午班本地二区</v>
      </c>
      <c r="R326" s="2">
        <f t="shared" si="41"/>
        <v>4584996</v>
      </c>
      <c r="S326" s="2">
        <f t="shared" si="41"/>
        <v>27394</v>
      </c>
      <c r="T326" s="2" t="str">
        <f t="shared" si="42"/>
        <v>45393本地二区-下午班</v>
      </c>
      <c r="U326" s="2">
        <f t="shared" si="43"/>
        <v>5.9747100000000003E-3</v>
      </c>
      <c r="V326" s="2" t="str">
        <f t="shared" si="44"/>
        <v>陈楠</v>
      </c>
    </row>
    <row r="327" spans="1:22" ht="16.5" x14ac:dyDescent="0.4">
      <c r="A327" s="4" t="s">
        <v>772</v>
      </c>
      <c r="B327" s="70" t="s">
        <v>104</v>
      </c>
      <c r="C327" s="4" t="s">
        <v>110</v>
      </c>
      <c r="D327" s="4">
        <v>160</v>
      </c>
      <c r="E327" s="4">
        <v>120</v>
      </c>
      <c r="F327" s="5">
        <v>44012</v>
      </c>
      <c r="G327" s="5">
        <v>115970</v>
      </c>
      <c r="H327" s="6">
        <v>-71958</v>
      </c>
      <c r="I327" s="4" t="s">
        <v>101</v>
      </c>
      <c r="J327" s="5">
        <v>5406239</v>
      </c>
      <c r="K327" s="5">
        <v>44012</v>
      </c>
      <c r="L327" s="5">
        <v>11840792</v>
      </c>
      <c r="M327" s="5">
        <v>47299</v>
      </c>
      <c r="N327" s="7" t="s">
        <v>395</v>
      </c>
      <c r="O327" s="7" t="s">
        <v>683</v>
      </c>
      <c r="P327" s="11">
        <v>45394</v>
      </c>
      <c r="Q327" s="2" t="str">
        <f t="shared" si="40"/>
        <v>45394早班本地一区</v>
      </c>
      <c r="R327" s="2">
        <f t="shared" si="41"/>
        <v>11840792</v>
      </c>
      <c r="S327" s="2">
        <f t="shared" si="41"/>
        <v>47299</v>
      </c>
      <c r="T327" s="2" t="str">
        <f t="shared" si="42"/>
        <v>45394本地一区-早班</v>
      </c>
      <c r="U327" s="2">
        <f t="shared" si="43"/>
        <v>3.9945800000000002E-3</v>
      </c>
      <c r="V327" s="2" t="str">
        <f t="shared" si="44"/>
        <v>赵勇</v>
      </c>
    </row>
    <row r="328" spans="1:22" ht="16.5" x14ac:dyDescent="0.4">
      <c r="A328" s="4" t="s">
        <v>93</v>
      </c>
      <c r="B328" s="70" t="s">
        <v>105</v>
      </c>
      <c r="C328" s="4" t="s">
        <v>133</v>
      </c>
      <c r="D328" s="4">
        <v>150</v>
      </c>
      <c r="E328" s="4">
        <v>103</v>
      </c>
      <c r="F328" s="5">
        <v>23522</v>
      </c>
      <c r="G328" s="5">
        <v>93717</v>
      </c>
      <c r="H328" s="6">
        <v>-70195</v>
      </c>
      <c r="I328" s="4" t="s">
        <v>101</v>
      </c>
      <c r="J328" s="5">
        <v>3375790</v>
      </c>
      <c r="K328" s="5">
        <v>23522</v>
      </c>
      <c r="L328" s="5">
        <v>7053837</v>
      </c>
      <c r="M328" s="5">
        <v>25570</v>
      </c>
      <c r="N328" s="7" t="s">
        <v>172</v>
      </c>
      <c r="O328" s="7" t="s">
        <v>684</v>
      </c>
      <c r="P328" s="11">
        <v>45394</v>
      </c>
      <c r="Q328" s="2" t="str">
        <f t="shared" si="40"/>
        <v>45394早班本地二区</v>
      </c>
      <c r="R328" s="2">
        <f t="shared" si="41"/>
        <v>7053837</v>
      </c>
      <c r="S328" s="2">
        <f t="shared" si="41"/>
        <v>25570</v>
      </c>
      <c r="T328" s="2" t="str">
        <f t="shared" si="42"/>
        <v>45394本地二区-早班</v>
      </c>
      <c r="U328" s="2">
        <f t="shared" si="43"/>
        <v>3.6249799999999999E-3</v>
      </c>
      <c r="V328" s="2" t="str">
        <f t="shared" si="44"/>
        <v>林好男</v>
      </c>
    </row>
    <row r="329" spans="1:22" ht="16.5" x14ac:dyDescent="0.4">
      <c r="A329" s="4" t="s">
        <v>92</v>
      </c>
      <c r="B329" s="70" t="s">
        <v>178</v>
      </c>
      <c r="C329" s="4" t="s">
        <v>111</v>
      </c>
      <c r="D329" s="4">
        <v>160</v>
      </c>
      <c r="E329" s="4">
        <v>120</v>
      </c>
      <c r="F329" s="5">
        <v>52416</v>
      </c>
      <c r="G329" s="5">
        <v>209686</v>
      </c>
      <c r="H329" s="6">
        <v>-157270</v>
      </c>
      <c r="I329" s="4" t="s">
        <v>101</v>
      </c>
      <c r="J329" s="5">
        <v>4822898</v>
      </c>
      <c r="K329" s="5">
        <v>52416</v>
      </c>
      <c r="L329" s="5">
        <v>8102084</v>
      </c>
      <c r="M329" s="5">
        <v>54719</v>
      </c>
      <c r="N329" s="7" t="s">
        <v>366</v>
      </c>
      <c r="O329" s="7" t="s">
        <v>685</v>
      </c>
      <c r="P329" s="11">
        <v>45394</v>
      </c>
      <c r="Q329" s="2" t="str">
        <f t="shared" si="40"/>
        <v>45394下午班本地所有</v>
      </c>
      <c r="R329" s="2">
        <f t="shared" si="41"/>
        <v>8102084</v>
      </c>
      <c r="S329" s="2">
        <f t="shared" si="41"/>
        <v>54719</v>
      </c>
      <c r="T329" s="2" t="str">
        <f t="shared" si="42"/>
        <v>45394本地所有-下午班</v>
      </c>
      <c r="U329" s="2">
        <f t="shared" si="43"/>
        <v>6.7536899999999997E-3</v>
      </c>
      <c r="V329" s="2" t="str">
        <f t="shared" si="44"/>
        <v>陈楠</v>
      </c>
    </row>
    <row r="330" spans="1:22" ht="16.5" x14ac:dyDescent="0.4">
      <c r="A330" s="4" t="s">
        <v>93</v>
      </c>
      <c r="B330" s="70" t="s">
        <v>104</v>
      </c>
      <c r="C330" s="4" t="s">
        <v>158</v>
      </c>
      <c r="D330" s="4">
        <v>182</v>
      </c>
      <c r="E330" s="4">
        <v>107</v>
      </c>
      <c r="F330" s="5">
        <v>28878</v>
      </c>
      <c r="G330" s="5">
        <v>115970</v>
      </c>
      <c r="H330" s="6">
        <v>-87092</v>
      </c>
      <c r="I330" s="4" t="s">
        <v>101</v>
      </c>
      <c r="J330" s="5">
        <v>1544087</v>
      </c>
      <c r="K330" s="5">
        <v>28878</v>
      </c>
      <c r="L330" s="5">
        <v>5081531</v>
      </c>
      <c r="M330" s="5">
        <v>31448</v>
      </c>
      <c r="N330" s="7" t="s">
        <v>301</v>
      </c>
      <c r="O330" s="7" t="s">
        <v>686</v>
      </c>
      <c r="P330" s="11">
        <v>45395</v>
      </c>
      <c r="Q330" s="2" t="str">
        <f t="shared" si="40"/>
        <v>45395早班本地一区</v>
      </c>
      <c r="R330" s="2">
        <f t="shared" si="41"/>
        <v>5081531</v>
      </c>
      <c r="S330" s="2">
        <f t="shared" si="41"/>
        <v>31448</v>
      </c>
      <c r="T330" s="2" t="str">
        <f t="shared" si="42"/>
        <v>45395本地一区-早班</v>
      </c>
      <c r="U330" s="2">
        <f t="shared" si="43"/>
        <v>6.1886900000000002E-3</v>
      </c>
      <c r="V330" s="2" t="str">
        <f t="shared" si="44"/>
        <v>李晓晗</v>
      </c>
    </row>
    <row r="331" spans="1:22" ht="16.5" x14ac:dyDescent="0.4">
      <c r="A331" s="4" t="s">
        <v>93</v>
      </c>
      <c r="B331" s="70" t="s">
        <v>105</v>
      </c>
      <c r="C331" s="4" t="s">
        <v>133</v>
      </c>
      <c r="D331" s="4">
        <v>159</v>
      </c>
      <c r="E331" s="4">
        <v>110</v>
      </c>
      <c r="F331" s="5">
        <v>24176</v>
      </c>
      <c r="G331" s="5">
        <v>93717</v>
      </c>
      <c r="H331" s="6">
        <v>-69541</v>
      </c>
      <c r="I331" s="4" t="s">
        <v>101</v>
      </c>
      <c r="J331" s="5">
        <v>3496178</v>
      </c>
      <c r="K331" s="5">
        <v>24176</v>
      </c>
      <c r="L331" s="5">
        <v>6508601</v>
      </c>
      <c r="M331" s="5">
        <v>26070</v>
      </c>
      <c r="N331" s="7" t="s">
        <v>467</v>
      </c>
      <c r="O331" s="7" t="s">
        <v>687</v>
      </c>
      <c r="P331" s="11">
        <v>45395</v>
      </c>
      <c r="Q331" s="2" t="str">
        <f t="shared" si="40"/>
        <v>45395早班本地二区</v>
      </c>
      <c r="R331" s="2">
        <f t="shared" si="41"/>
        <v>6508601</v>
      </c>
      <c r="S331" s="2">
        <f t="shared" si="41"/>
        <v>26070</v>
      </c>
      <c r="T331" s="2" t="str">
        <f t="shared" si="42"/>
        <v>45395本地二区-早班</v>
      </c>
      <c r="U331" s="2">
        <f t="shared" si="43"/>
        <v>4.0054699999999997E-3</v>
      </c>
      <c r="V331" s="2" t="str">
        <f t="shared" si="44"/>
        <v>林好男</v>
      </c>
    </row>
    <row r="332" spans="1:22" ht="16.5" x14ac:dyDescent="0.4">
      <c r="A332" s="4" t="s">
        <v>92</v>
      </c>
      <c r="B332" s="70" t="s">
        <v>104</v>
      </c>
      <c r="C332" s="4" t="s">
        <v>122</v>
      </c>
      <c r="D332" s="4">
        <v>169</v>
      </c>
      <c r="E332" s="4">
        <v>100</v>
      </c>
      <c r="F332" s="5">
        <v>40125</v>
      </c>
      <c r="G332" s="5">
        <v>115970</v>
      </c>
      <c r="H332" s="6">
        <v>-75845</v>
      </c>
      <c r="I332" s="4" t="s">
        <v>101</v>
      </c>
      <c r="J332" s="5">
        <v>4413161</v>
      </c>
      <c r="K332" s="5">
        <v>40125</v>
      </c>
      <c r="L332" s="5">
        <v>9102721</v>
      </c>
      <c r="M332" s="5">
        <v>43874</v>
      </c>
      <c r="N332" s="7" t="s">
        <v>163</v>
      </c>
      <c r="O332" s="7" t="s">
        <v>688</v>
      </c>
      <c r="P332" s="11">
        <v>45395</v>
      </c>
      <c r="Q332" s="2" t="str">
        <f t="shared" si="40"/>
        <v>45395下午班本地一区</v>
      </c>
      <c r="R332" s="2">
        <f t="shared" si="41"/>
        <v>9102721</v>
      </c>
      <c r="S332" s="2">
        <f t="shared" si="41"/>
        <v>43874</v>
      </c>
      <c r="T332" s="2" t="str">
        <f t="shared" si="42"/>
        <v>45395本地一区-下午班</v>
      </c>
      <c r="U332" s="2">
        <f t="shared" si="43"/>
        <v>4.8198800000000003E-3</v>
      </c>
      <c r="V332" s="2" t="str">
        <f t="shared" si="44"/>
        <v>赵依然</v>
      </c>
    </row>
    <row r="333" spans="1:22" ht="16.5" x14ac:dyDescent="0.4">
      <c r="A333" s="4" t="s">
        <v>92</v>
      </c>
      <c r="B333" s="70" t="s">
        <v>105</v>
      </c>
      <c r="C333" s="4" t="s">
        <v>111</v>
      </c>
      <c r="D333" s="4">
        <v>151</v>
      </c>
      <c r="E333" s="4">
        <v>110</v>
      </c>
      <c r="F333" s="5">
        <v>36849</v>
      </c>
      <c r="G333" s="5">
        <v>93717</v>
      </c>
      <c r="H333" s="6">
        <v>-56868</v>
      </c>
      <c r="I333" s="4" t="s">
        <v>101</v>
      </c>
      <c r="J333" s="5">
        <v>7054916</v>
      </c>
      <c r="K333" s="5">
        <v>36849</v>
      </c>
      <c r="L333" s="5">
        <v>10059612</v>
      </c>
      <c r="M333" s="5">
        <v>38571</v>
      </c>
      <c r="N333" s="7" t="s">
        <v>461</v>
      </c>
      <c r="O333" s="7" t="s">
        <v>689</v>
      </c>
      <c r="P333" s="11">
        <v>45395</v>
      </c>
      <c r="Q333" s="2" t="str">
        <f t="shared" si="40"/>
        <v>45395下午班本地二区</v>
      </c>
      <c r="R333" s="2">
        <f t="shared" si="41"/>
        <v>10059612</v>
      </c>
      <c r="S333" s="2">
        <f t="shared" si="41"/>
        <v>38571</v>
      </c>
      <c r="T333" s="2" t="str">
        <f t="shared" si="42"/>
        <v>45395本地二区-下午班</v>
      </c>
      <c r="U333" s="2">
        <f t="shared" si="43"/>
        <v>3.83424E-3</v>
      </c>
      <c r="V333" s="2" t="str">
        <f t="shared" si="44"/>
        <v>陈楠</v>
      </c>
    </row>
    <row r="334" spans="1:22" ht="16.5" x14ac:dyDescent="0.4">
      <c r="A334" s="4" t="s">
        <v>93</v>
      </c>
      <c r="B334" s="70" t="s">
        <v>178</v>
      </c>
      <c r="C334" s="4" t="s">
        <v>133</v>
      </c>
      <c r="D334" s="4">
        <v>201</v>
      </c>
      <c r="E334" s="4">
        <v>128</v>
      </c>
      <c r="F334" s="5">
        <v>35998</v>
      </c>
      <c r="G334" s="5">
        <v>209686</v>
      </c>
      <c r="H334" s="6">
        <v>-173688</v>
      </c>
      <c r="I334" s="4" t="s">
        <v>101</v>
      </c>
      <c r="J334" s="5">
        <v>1529057</v>
      </c>
      <c r="K334" s="5">
        <v>35998</v>
      </c>
      <c r="L334" s="5">
        <v>5848285</v>
      </c>
      <c r="M334" s="5">
        <v>37602</v>
      </c>
      <c r="N334" s="7" t="s">
        <v>690</v>
      </c>
      <c r="O334" s="7" t="s">
        <v>691</v>
      </c>
      <c r="P334" s="11">
        <v>45396</v>
      </c>
      <c r="Q334" s="2" t="str">
        <f t="shared" si="40"/>
        <v>45396早班本地所有</v>
      </c>
      <c r="R334" s="2">
        <f t="shared" si="41"/>
        <v>5848285</v>
      </c>
      <c r="S334" s="2">
        <f t="shared" si="41"/>
        <v>37602</v>
      </c>
      <c r="T334" s="2" t="str">
        <f t="shared" si="42"/>
        <v>45396本地所有-早班</v>
      </c>
      <c r="U334" s="2">
        <f t="shared" si="43"/>
        <v>6.4295799999999998E-3</v>
      </c>
      <c r="V334" s="2" t="str">
        <f t="shared" si="44"/>
        <v>林好男</v>
      </c>
    </row>
    <row r="335" spans="1:22" ht="16.5" x14ac:dyDescent="0.4">
      <c r="A335" s="4" t="s">
        <v>92</v>
      </c>
      <c r="B335" s="70" t="s">
        <v>104</v>
      </c>
      <c r="C335" s="4" t="s">
        <v>111</v>
      </c>
      <c r="D335" s="4">
        <v>151</v>
      </c>
      <c r="E335" s="4">
        <v>102</v>
      </c>
      <c r="F335" s="5">
        <v>35013</v>
      </c>
      <c r="G335" s="5">
        <v>115970</v>
      </c>
      <c r="H335" s="6">
        <v>-80957</v>
      </c>
      <c r="I335" s="4" t="s">
        <v>101</v>
      </c>
      <c r="J335" s="5">
        <v>4701304</v>
      </c>
      <c r="K335" s="5">
        <v>35013</v>
      </c>
      <c r="L335" s="5">
        <v>7071041</v>
      </c>
      <c r="M335" s="5">
        <v>37229</v>
      </c>
      <c r="N335" s="7" t="s">
        <v>438</v>
      </c>
      <c r="O335" s="7" t="s">
        <v>692</v>
      </c>
      <c r="P335" s="11">
        <v>45396</v>
      </c>
      <c r="Q335" s="2" t="str">
        <f t="shared" si="40"/>
        <v>45396下午班本地一区</v>
      </c>
      <c r="R335" s="2">
        <f t="shared" si="41"/>
        <v>7071041</v>
      </c>
      <c r="S335" s="2">
        <f t="shared" si="41"/>
        <v>37229</v>
      </c>
      <c r="T335" s="2" t="str">
        <f t="shared" si="42"/>
        <v>45396本地一区-下午班</v>
      </c>
      <c r="U335" s="2">
        <f t="shared" si="43"/>
        <v>5.2649999999999997E-3</v>
      </c>
      <c r="V335" s="2" t="str">
        <f t="shared" si="44"/>
        <v>陈楠</v>
      </c>
    </row>
    <row r="336" spans="1:22" ht="16.5" x14ac:dyDescent="0.4">
      <c r="A336" s="4" t="s">
        <v>92</v>
      </c>
      <c r="B336" s="70" t="s">
        <v>105</v>
      </c>
      <c r="C336" s="4" t="s">
        <v>122</v>
      </c>
      <c r="D336" s="4">
        <v>165</v>
      </c>
      <c r="E336" s="4">
        <v>101</v>
      </c>
      <c r="F336" s="5">
        <v>26991</v>
      </c>
      <c r="G336" s="5">
        <v>93717</v>
      </c>
      <c r="H336" s="6">
        <v>-66726</v>
      </c>
      <c r="I336" s="4" t="s">
        <v>101</v>
      </c>
      <c r="J336" s="5">
        <v>5277749</v>
      </c>
      <c r="K336" s="5">
        <v>26991</v>
      </c>
      <c r="L336" s="5">
        <v>7010621</v>
      </c>
      <c r="M336" s="5">
        <v>28491</v>
      </c>
      <c r="N336" s="7" t="s">
        <v>449</v>
      </c>
      <c r="O336" s="7" t="s">
        <v>693</v>
      </c>
      <c r="P336" s="11">
        <v>45396</v>
      </c>
      <c r="Q336" s="2" t="str">
        <f t="shared" si="40"/>
        <v>45396下午班本地二区</v>
      </c>
      <c r="R336" s="2">
        <f t="shared" si="41"/>
        <v>7010621</v>
      </c>
      <c r="S336" s="2">
        <f t="shared" si="41"/>
        <v>28491</v>
      </c>
      <c r="T336" s="2" t="str">
        <f t="shared" si="42"/>
        <v>45396本地二区-下午班</v>
      </c>
      <c r="U336" s="2">
        <f t="shared" si="43"/>
        <v>4.06398E-3</v>
      </c>
      <c r="V336" s="2" t="str">
        <f t="shared" si="44"/>
        <v>赵依然</v>
      </c>
    </row>
    <row r="337" spans="1:22" ht="16.5" x14ac:dyDescent="0.4">
      <c r="A337" s="4" t="s">
        <v>93</v>
      </c>
      <c r="B337" s="70" t="s">
        <v>104</v>
      </c>
      <c r="C337" s="4" t="s">
        <v>133</v>
      </c>
      <c r="D337" s="4">
        <v>128</v>
      </c>
      <c r="E337" s="4">
        <v>80</v>
      </c>
      <c r="F337" s="5">
        <v>30466</v>
      </c>
      <c r="G337" s="5">
        <v>115970</v>
      </c>
      <c r="H337" s="6">
        <v>-85504</v>
      </c>
      <c r="I337" s="4" t="s">
        <v>101</v>
      </c>
      <c r="J337" s="5">
        <v>2149360</v>
      </c>
      <c r="K337" s="5">
        <v>30466</v>
      </c>
      <c r="L337" s="5">
        <v>5717241</v>
      </c>
      <c r="M337" s="5">
        <v>33446</v>
      </c>
      <c r="N337" s="7" t="s">
        <v>694</v>
      </c>
      <c r="O337" s="7" t="s">
        <v>695</v>
      </c>
      <c r="P337" s="11">
        <v>45397</v>
      </c>
      <c r="Q337" s="2" t="str">
        <f t="shared" si="40"/>
        <v>45397早班本地一区</v>
      </c>
      <c r="R337" s="2">
        <f t="shared" si="41"/>
        <v>5717241</v>
      </c>
      <c r="S337" s="2">
        <f t="shared" si="41"/>
        <v>33446</v>
      </c>
      <c r="T337" s="2" t="str">
        <f t="shared" si="42"/>
        <v>45397本地一区-早班</v>
      </c>
      <c r="U337" s="2">
        <f t="shared" si="43"/>
        <v>5.85002E-3</v>
      </c>
      <c r="V337" s="2" t="str">
        <f t="shared" si="44"/>
        <v>林好男</v>
      </c>
    </row>
    <row r="338" spans="1:22" ht="16.5" x14ac:dyDescent="0.4">
      <c r="A338" s="4" t="s">
        <v>93</v>
      </c>
      <c r="B338" s="70" t="s">
        <v>105</v>
      </c>
      <c r="C338" s="4" t="s">
        <v>110</v>
      </c>
      <c r="D338" s="4">
        <v>177</v>
      </c>
      <c r="E338" s="4">
        <v>112</v>
      </c>
      <c r="F338" s="5">
        <v>24660</v>
      </c>
      <c r="G338" s="5">
        <v>93717</v>
      </c>
      <c r="H338" s="6">
        <v>-69057</v>
      </c>
      <c r="I338" s="4" t="s">
        <v>101</v>
      </c>
      <c r="J338" s="5">
        <v>3530487</v>
      </c>
      <c r="K338" s="5">
        <v>24660</v>
      </c>
      <c r="L338" s="5">
        <v>6110302</v>
      </c>
      <c r="M338" s="5">
        <v>25820</v>
      </c>
      <c r="N338" s="7" t="s">
        <v>172</v>
      </c>
      <c r="O338" s="7" t="s">
        <v>696</v>
      </c>
      <c r="P338" s="11">
        <v>45397</v>
      </c>
      <c r="Q338" s="2" t="str">
        <f t="shared" si="40"/>
        <v>45397早班本地二区</v>
      </c>
      <c r="R338" s="2">
        <f t="shared" ref="R338:S353" si="45">L338</f>
        <v>6110302</v>
      </c>
      <c r="S338" s="2">
        <f t="shared" si="45"/>
        <v>25820</v>
      </c>
      <c r="T338" s="2" t="str">
        <f t="shared" si="42"/>
        <v>45397本地二区-早班</v>
      </c>
      <c r="U338" s="2">
        <f t="shared" si="43"/>
        <v>4.2256500000000001E-3</v>
      </c>
      <c r="V338" s="2" t="str">
        <f t="shared" si="44"/>
        <v>赵勇</v>
      </c>
    </row>
    <row r="339" spans="1:22" ht="16.5" x14ac:dyDescent="0.4">
      <c r="A339" s="4" t="s">
        <v>92</v>
      </c>
      <c r="B339" s="70" t="s">
        <v>104</v>
      </c>
      <c r="C339" s="4" t="s">
        <v>111</v>
      </c>
      <c r="D339" s="4">
        <v>153</v>
      </c>
      <c r="E339" s="4">
        <v>108</v>
      </c>
      <c r="F339" s="5">
        <v>44793</v>
      </c>
      <c r="G339" s="5">
        <v>115970</v>
      </c>
      <c r="H339" s="6">
        <v>-71177</v>
      </c>
      <c r="I339" s="4" t="s">
        <v>101</v>
      </c>
      <c r="J339" s="5">
        <v>4213677</v>
      </c>
      <c r="K339" s="5">
        <v>44793</v>
      </c>
      <c r="L339" s="5">
        <v>8972702</v>
      </c>
      <c r="M339" s="5">
        <v>48309</v>
      </c>
      <c r="N339" s="7" t="s">
        <v>601</v>
      </c>
      <c r="O339" s="7" t="s">
        <v>697</v>
      </c>
      <c r="P339" s="11">
        <v>45397</v>
      </c>
      <c r="Q339" s="2" t="str">
        <f t="shared" si="40"/>
        <v>45397下午班本地一区</v>
      </c>
      <c r="R339" s="2">
        <f t="shared" si="45"/>
        <v>8972702</v>
      </c>
      <c r="S339" s="2">
        <f t="shared" si="45"/>
        <v>48309</v>
      </c>
      <c r="T339" s="2" t="str">
        <f t="shared" si="42"/>
        <v>45397本地一区-下午班</v>
      </c>
      <c r="U339" s="2">
        <f t="shared" si="43"/>
        <v>5.3839999999999999E-3</v>
      </c>
      <c r="V339" s="2" t="str">
        <f t="shared" si="44"/>
        <v>陈楠</v>
      </c>
    </row>
    <row r="340" spans="1:22" ht="16.5" x14ac:dyDescent="0.4">
      <c r="A340" s="4" t="s">
        <v>92</v>
      </c>
      <c r="B340" s="70" t="s">
        <v>105</v>
      </c>
      <c r="C340" s="4" t="s">
        <v>122</v>
      </c>
      <c r="D340" s="4">
        <v>150</v>
      </c>
      <c r="E340" s="4">
        <v>102</v>
      </c>
      <c r="F340" s="5">
        <v>29038</v>
      </c>
      <c r="G340" s="5">
        <v>93717</v>
      </c>
      <c r="H340" s="6">
        <v>-64679</v>
      </c>
      <c r="I340" s="4" t="s">
        <v>101</v>
      </c>
      <c r="J340" s="5">
        <v>3786781</v>
      </c>
      <c r="K340" s="5">
        <v>29038</v>
      </c>
      <c r="L340" s="5">
        <v>7400414</v>
      </c>
      <c r="M340" s="5">
        <v>31678</v>
      </c>
      <c r="N340" s="7" t="s">
        <v>169</v>
      </c>
      <c r="O340" s="7" t="s">
        <v>698</v>
      </c>
      <c r="P340" s="11">
        <v>45397</v>
      </c>
      <c r="Q340" s="2" t="str">
        <f t="shared" si="40"/>
        <v>45397下午班本地二区</v>
      </c>
      <c r="R340" s="2">
        <f t="shared" si="45"/>
        <v>7400414</v>
      </c>
      <c r="S340" s="2">
        <f t="shared" si="45"/>
        <v>31678</v>
      </c>
      <c r="T340" s="2" t="str">
        <f t="shared" si="42"/>
        <v>45397本地二区-下午班</v>
      </c>
      <c r="U340" s="2">
        <f t="shared" si="43"/>
        <v>4.28057E-3</v>
      </c>
      <c r="V340" s="2" t="str">
        <f t="shared" si="44"/>
        <v>赵依然</v>
      </c>
    </row>
    <row r="341" spans="1:22" ht="16.5" x14ac:dyDescent="0.4">
      <c r="A341" s="4" t="s">
        <v>93</v>
      </c>
      <c r="B341" s="70" t="s">
        <v>104</v>
      </c>
      <c r="C341" s="4" t="s">
        <v>110</v>
      </c>
      <c r="D341" s="4">
        <v>186</v>
      </c>
      <c r="E341" s="4">
        <v>131</v>
      </c>
      <c r="F341" s="5">
        <v>36541</v>
      </c>
      <c r="G341" s="5">
        <v>115970</v>
      </c>
      <c r="H341" s="6">
        <v>-79429</v>
      </c>
      <c r="I341" s="4" t="s">
        <v>101</v>
      </c>
      <c r="J341" s="5">
        <v>3974227</v>
      </c>
      <c r="K341" s="5">
        <v>36541</v>
      </c>
      <c r="L341" s="5">
        <v>7961376</v>
      </c>
      <c r="M341" s="5">
        <v>39390</v>
      </c>
      <c r="N341" s="7" t="s">
        <v>167</v>
      </c>
      <c r="O341" s="7" t="s">
        <v>700</v>
      </c>
      <c r="P341" s="11">
        <v>45398</v>
      </c>
      <c r="Q341" s="2" t="str">
        <f t="shared" si="40"/>
        <v>45398早班本地一区</v>
      </c>
      <c r="R341" s="2">
        <f t="shared" si="45"/>
        <v>7961376</v>
      </c>
      <c r="S341" s="2">
        <f t="shared" si="45"/>
        <v>39390</v>
      </c>
      <c r="T341" s="2" t="str">
        <f t="shared" si="42"/>
        <v>45398本地一区-早班</v>
      </c>
      <c r="U341" s="2">
        <f t="shared" si="43"/>
        <v>4.9476399999999997E-3</v>
      </c>
      <c r="V341" s="2" t="str">
        <f t="shared" si="44"/>
        <v>赵勇</v>
      </c>
    </row>
    <row r="342" spans="1:22" ht="16.5" x14ac:dyDescent="0.4">
      <c r="A342" s="4" t="s">
        <v>93</v>
      </c>
      <c r="B342" s="70" t="s">
        <v>105</v>
      </c>
      <c r="C342" s="4" t="s">
        <v>158</v>
      </c>
      <c r="D342" s="4">
        <v>211</v>
      </c>
      <c r="E342" s="4">
        <v>110</v>
      </c>
      <c r="F342" s="5">
        <v>24972</v>
      </c>
      <c r="G342" s="5">
        <v>93717</v>
      </c>
      <c r="H342" s="6">
        <v>-68745</v>
      </c>
      <c r="I342" s="4" t="s">
        <v>101</v>
      </c>
      <c r="J342" s="5">
        <v>3824931</v>
      </c>
      <c r="K342" s="5">
        <v>24972</v>
      </c>
      <c r="L342" s="5">
        <v>6442140</v>
      </c>
      <c r="M342" s="5">
        <v>26976</v>
      </c>
      <c r="N342" s="7" t="s">
        <v>699</v>
      </c>
      <c r="O342" s="7" t="s">
        <v>701</v>
      </c>
      <c r="P342" s="11">
        <v>45398</v>
      </c>
      <c r="Q342" s="2" t="str">
        <f t="shared" si="40"/>
        <v>45398早班本地二区</v>
      </c>
      <c r="R342" s="2">
        <f t="shared" si="45"/>
        <v>6442140</v>
      </c>
      <c r="S342" s="2">
        <f t="shared" si="45"/>
        <v>26976</v>
      </c>
      <c r="T342" s="2" t="str">
        <f t="shared" si="42"/>
        <v>45398本地二区-早班</v>
      </c>
      <c r="U342" s="2">
        <f t="shared" si="43"/>
        <v>4.1874299999999998E-3</v>
      </c>
      <c r="V342" s="2" t="str">
        <f t="shared" si="44"/>
        <v>李晓晗</v>
      </c>
    </row>
    <row r="343" spans="1:22" ht="16.5" x14ac:dyDescent="0.4">
      <c r="A343" s="4" t="s">
        <v>92</v>
      </c>
      <c r="B343" s="70" t="s">
        <v>104</v>
      </c>
      <c r="C343" s="4" t="s">
        <v>122</v>
      </c>
      <c r="D343" s="4">
        <v>147</v>
      </c>
      <c r="E343" s="4">
        <v>107</v>
      </c>
      <c r="F343" s="5">
        <v>50800</v>
      </c>
      <c r="G343" s="5">
        <v>115970</v>
      </c>
      <c r="H343" s="6">
        <v>-65170</v>
      </c>
      <c r="I343" s="4" t="s">
        <v>101</v>
      </c>
      <c r="J343" s="5">
        <v>8270243</v>
      </c>
      <c r="K343" s="5">
        <v>50800</v>
      </c>
      <c r="L343" s="5">
        <v>13376731</v>
      </c>
      <c r="M343" s="5">
        <v>55052</v>
      </c>
      <c r="N343" s="7" t="s">
        <v>412</v>
      </c>
      <c r="O343" s="7" t="s">
        <v>702</v>
      </c>
      <c r="P343" s="11">
        <v>45398</v>
      </c>
      <c r="Q343" s="2" t="str">
        <f t="shared" si="40"/>
        <v>45398下午班本地一区</v>
      </c>
      <c r="R343" s="2">
        <f t="shared" si="45"/>
        <v>13376731</v>
      </c>
      <c r="S343" s="2">
        <f t="shared" si="45"/>
        <v>55052</v>
      </c>
      <c r="T343" s="2" t="str">
        <f t="shared" si="42"/>
        <v>45398本地一区-下午班</v>
      </c>
      <c r="U343" s="2">
        <f t="shared" si="43"/>
        <v>4.1155000000000002E-3</v>
      </c>
      <c r="V343" s="2" t="str">
        <f t="shared" si="44"/>
        <v>赵依然</v>
      </c>
    </row>
    <row r="344" spans="1:22" ht="16.5" x14ac:dyDescent="0.4">
      <c r="A344" s="4" t="s">
        <v>92</v>
      </c>
      <c r="B344" s="70" t="s">
        <v>105</v>
      </c>
      <c r="C344" s="4" t="s">
        <v>133</v>
      </c>
      <c r="D344" s="4">
        <v>187</v>
      </c>
      <c r="E344" s="4">
        <v>122</v>
      </c>
      <c r="F344" s="5">
        <v>30695</v>
      </c>
      <c r="G344" s="5">
        <v>93717</v>
      </c>
      <c r="H344" s="6">
        <v>-63022</v>
      </c>
      <c r="I344" s="4" t="s">
        <v>101</v>
      </c>
      <c r="J344" s="5">
        <v>2240793</v>
      </c>
      <c r="K344" s="5">
        <v>30695</v>
      </c>
      <c r="L344" s="5">
        <v>5094907</v>
      </c>
      <c r="M344" s="5">
        <v>35638</v>
      </c>
      <c r="N344" s="7" t="s">
        <v>703</v>
      </c>
      <c r="O344" s="7" t="s">
        <v>704</v>
      </c>
      <c r="P344" s="11">
        <v>45398</v>
      </c>
      <c r="Q344" s="2" t="str">
        <f t="shared" si="40"/>
        <v>45398下午班本地二区</v>
      </c>
      <c r="R344" s="2">
        <f t="shared" si="45"/>
        <v>5094907</v>
      </c>
      <c r="S344" s="2">
        <f t="shared" si="45"/>
        <v>35638</v>
      </c>
      <c r="T344" s="2" t="str">
        <f t="shared" si="42"/>
        <v>45398本地二区-下午班</v>
      </c>
      <c r="U344" s="2">
        <f t="shared" si="43"/>
        <v>6.9948299999999996E-3</v>
      </c>
      <c r="V344" s="2" t="str">
        <f t="shared" si="44"/>
        <v>林好男</v>
      </c>
    </row>
    <row r="345" spans="1:22" ht="16.5" x14ac:dyDescent="0.4">
      <c r="A345" s="4" t="s">
        <v>93</v>
      </c>
      <c r="B345" s="70" t="s">
        <v>104</v>
      </c>
      <c r="C345" s="4" t="s">
        <v>158</v>
      </c>
      <c r="D345" s="4">
        <v>197</v>
      </c>
      <c r="E345" s="4">
        <v>118</v>
      </c>
      <c r="F345" s="5">
        <v>32875</v>
      </c>
      <c r="G345" s="5">
        <v>115970</v>
      </c>
      <c r="H345" s="6">
        <v>-83095</v>
      </c>
      <c r="I345" s="4" t="s">
        <v>101</v>
      </c>
      <c r="J345" s="5">
        <v>1879176</v>
      </c>
      <c r="K345" s="5">
        <v>32875</v>
      </c>
      <c r="L345" s="5">
        <v>6014570</v>
      </c>
      <c r="M345" s="5">
        <v>36229</v>
      </c>
      <c r="N345" s="7" t="s">
        <v>705</v>
      </c>
      <c r="O345" s="7" t="s">
        <v>706</v>
      </c>
      <c r="P345" s="11">
        <v>45399</v>
      </c>
      <c r="Q345" s="2" t="str">
        <f t="shared" si="40"/>
        <v>45399早班本地一区</v>
      </c>
      <c r="R345" s="2">
        <f t="shared" si="45"/>
        <v>6014570</v>
      </c>
      <c r="S345" s="2">
        <f t="shared" si="45"/>
        <v>36229</v>
      </c>
      <c r="T345" s="2" t="str">
        <f t="shared" si="42"/>
        <v>45399本地一区-早班</v>
      </c>
      <c r="U345" s="2">
        <f t="shared" si="43"/>
        <v>6.02354E-3</v>
      </c>
      <c r="V345" s="2" t="str">
        <f t="shared" si="44"/>
        <v>李晓晗</v>
      </c>
    </row>
    <row r="346" spans="1:22" ht="16.5" x14ac:dyDescent="0.4">
      <c r="A346" s="4" t="s">
        <v>93</v>
      </c>
      <c r="B346" s="70" t="s">
        <v>105</v>
      </c>
      <c r="C346" s="4" t="s">
        <v>110</v>
      </c>
      <c r="D346" s="4">
        <v>172</v>
      </c>
      <c r="E346" s="4">
        <v>113</v>
      </c>
      <c r="F346" s="5">
        <v>30447</v>
      </c>
      <c r="G346" s="5">
        <v>93717</v>
      </c>
      <c r="H346" s="6">
        <v>-63270</v>
      </c>
      <c r="I346" s="4" t="s">
        <v>101</v>
      </c>
      <c r="J346" s="5">
        <v>3987465</v>
      </c>
      <c r="K346" s="5">
        <v>30447</v>
      </c>
      <c r="L346" s="5">
        <v>8287336</v>
      </c>
      <c r="M346" s="5">
        <v>31403</v>
      </c>
      <c r="N346" s="7" t="s">
        <v>578</v>
      </c>
      <c r="O346" s="7" t="s">
        <v>707</v>
      </c>
      <c r="P346" s="11">
        <v>45399</v>
      </c>
      <c r="Q346" s="2" t="str">
        <f t="shared" si="40"/>
        <v>45399早班本地二区</v>
      </c>
      <c r="R346" s="2">
        <f t="shared" si="45"/>
        <v>8287336</v>
      </c>
      <c r="S346" s="2">
        <f t="shared" si="45"/>
        <v>31403</v>
      </c>
      <c r="T346" s="2" t="str">
        <f t="shared" si="42"/>
        <v>45399本地二区-早班</v>
      </c>
      <c r="U346" s="2">
        <f t="shared" si="43"/>
        <v>3.7892799999999999E-3</v>
      </c>
      <c r="V346" s="2" t="str">
        <f t="shared" si="44"/>
        <v>赵勇</v>
      </c>
    </row>
    <row r="347" spans="1:22" ht="16.5" x14ac:dyDescent="0.4">
      <c r="A347" s="4" t="s">
        <v>92</v>
      </c>
      <c r="B347" s="70" t="s">
        <v>104</v>
      </c>
      <c r="C347" s="4" t="s">
        <v>111</v>
      </c>
      <c r="D347" s="4">
        <v>151</v>
      </c>
      <c r="E347" s="4">
        <v>103</v>
      </c>
      <c r="F347" s="5">
        <v>38986</v>
      </c>
      <c r="G347" s="5">
        <v>115970</v>
      </c>
      <c r="H347" s="6">
        <v>-76984</v>
      </c>
      <c r="I347" s="4" t="s">
        <v>101</v>
      </c>
      <c r="J347" s="5">
        <v>3502511</v>
      </c>
      <c r="K347" s="5">
        <v>38986</v>
      </c>
      <c r="L347" s="5">
        <v>7298061</v>
      </c>
      <c r="M347" s="5">
        <v>42890</v>
      </c>
      <c r="N347" s="7" t="s">
        <v>307</v>
      </c>
      <c r="O347" s="7" t="s">
        <v>708</v>
      </c>
      <c r="P347" s="11">
        <v>45399</v>
      </c>
      <c r="Q347" s="2" t="str">
        <f t="shared" si="40"/>
        <v>45399下午班本地一区</v>
      </c>
      <c r="R347" s="2">
        <f t="shared" si="45"/>
        <v>7298061</v>
      </c>
      <c r="S347" s="2">
        <f t="shared" si="45"/>
        <v>42890</v>
      </c>
      <c r="T347" s="2" t="str">
        <f t="shared" si="42"/>
        <v>45399本地一区-下午班</v>
      </c>
      <c r="U347" s="2">
        <f t="shared" si="43"/>
        <v>5.8769E-3</v>
      </c>
      <c r="V347" s="2" t="str">
        <f t="shared" si="44"/>
        <v>陈楠</v>
      </c>
    </row>
    <row r="348" spans="1:22" ht="16.5" x14ac:dyDescent="0.4">
      <c r="A348" s="4" t="s">
        <v>92</v>
      </c>
      <c r="B348" s="70" t="s">
        <v>105</v>
      </c>
      <c r="C348" s="4" t="s">
        <v>122</v>
      </c>
      <c r="D348" s="4">
        <v>151</v>
      </c>
      <c r="E348" s="4">
        <v>105</v>
      </c>
      <c r="F348" s="5">
        <v>34915</v>
      </c>
      <c r="G348" s="5">
        <v>93717</v>
      </c>
      <c r="H348" s="6">
        <v>-58802</v>
      </c>
      <c r="I348" s="4" t="s">
        <v>101</v>
      </c>
      <c r="J348" s="5">
        <v>6264844</v>
      </c>
      <c r="K348" s="5">
        <v>34915</v>
      </c>
      <c r="L348" s="5">
        <v>8747742</v>
      </c>
      <c r="M348" s="5">
        <v>37301</v>
      </c>
      <c r="N348" s="7" t="s">
        <v>400</v>
      </c>
      <c r="O348" s="7" t="s">
        <v>709</v>
      </c>
      <c r="P348" s="11">
        <v>45399</v>
      </c>
      <c r="Q348" s="2" t="str">
        <f t="shared" si="40"/>
        <v>45399下午班本地二区</v>
      </c>
      <c r="R348" s="2">
        <f t="shared" si="45"/>
        <v>8747742</v>
      </c>
      <c r="S348" s="2">
        <f t="shared" si="45"/>
        <v>37301</v>
      </c>
      <c r="T348" s="2" t="str">
        <f t="shared" si="42"/>
        <v>45399本地二区-下午班</v>
      </c>
      <c r="U348" s="2">
        <f t="shared" si="43"/>
        <v>4.26407E-3</v>
      </c>
      <c r="V348" s="2" t="str">
        <f t="shared" si="44"/>
        <v>赵依然</v>
      </c>
    </row>
    <row r="349" spans="1:22" ht="16.5" x14ac:dyDescent="0.4">
      <c r="A349" s="4" t="s">
        <v>93</v>
      </c>
      <c r="B349" s="70" t="s">
        <v>104</v>
      </c>
      <c r="C349" s="4" t="s">
        <v>110</v>
      </c>
      <c r="D349" s="4">
        <v>192</v>
      </c>
      <c r="E349" s="4">
        <v>131</v>
      </c>
      <c r="F349" s="5">
        <v>41572</v>
      </c>
      <c r="G349" s="5">
        <v>115970</v>
      </c>
      <c r="H349" s="6">
        <v>-74398</v>
      </c>
      <c r="I349" s="4" t="s">
        <v>101</v>
      </c>
      <c r="J349" s="5">
        <v>4795151</v>
      </c>
      <c r="K349" s="5">
        <v>41572</v>
      </c>
      <c r="L349" s="5">
        <v>10022496</v>
      </c>
      <c r="M349" s="5">
        <v>45916</v>
      </c>
      <c r="N349" s="7" t="s">
        <v>124</v>
      </c>
      <c r="O349" s="7" t="s">
        <v>710</v>
      </c>
      <c r="P349" s="11">
        <v>45400</v>
      </c>
      <c r="Q349" s="2" t="str">
        <f t="shared" si="40"/>
        <v>45400早班本地一区</v>
      </c>
      <c r="R349" s="2">
        <f t="shared" si="45"/>
        <v>10022496</v>
      </c>
      <c r="S349" s="2">
        <f t="shared" si="45"/>
        <v>45916</v>
      </c>
      <c r="T349" s="2" t="str">
        <f t="shared" si="42"/>
        <v>45400本地一区-早班</v>
      </c>
      <c r="U349" s="2">
        <f t="shared" si="43"/>
        <v>4.58129E-3</v>
      </c>
      <c r="V349" s="2" t="str">
        <f t="shared" si="44"/>
        <v>赵勇</v>
      </c>
    </row>
    <row r="350" spans="1:22" ht="16.5" x14ac:dyDescent="0.4">
      <c r="A350" s="4" t="s">
        <v>93</v>
      </c>
      <c r="B350" s="70" t="s">
        <v>105</v>
      </c>
      <c r="C350" s="4" t="s">
        <v>158</v>
      </c>
      <c r="D350" s="4">
        <v>227</v>
      </c>
      <c r="E350" s="4">
        <v>129</v>
      </c>
      <c r="F350" s="5">
        <v>26996</v>
      </c>
      <c r="G350" s="5">
        <v>93717</v>
      </c>
      <c r="H350" s="6">
        <v>-66721</v>
      </c>
      <c r="I350" s="4" t="s">
        <v>101</v>
      </c>
      <c r="J350" s="5">
        <v>3547004</v>
      </c>
      <c r="K350" s="5">
        <v>26996</v>
      </c>
      <c r="L350" s="5">
        <v>7349370</v>
      </c>
      <c r="M350" s="5">
        <v>29124</v>
      </c>
      <c r="N350" s="7" t="s">
        <v>578</v>
      </c>
      <c r="O350" s="7" t="s">
        <v>711</v>
      </c>
      <c r="P350" s="11">
        <v>45400</v>
      </c>
      <c r="Q350" s="2" t="str">
        <f t="shared" si="40"/>
        <v>45400早班本地二区</v>
      </c>
      <c r="R350" s="2">
        <f t="shared" si="45"/>
        <v>7349370</v>
      </c>
      <c r="S350" s="2">
        <f t="shared" si="45"/>
        <v>29124</v>
      </c>
      <c r="T350" s="2" t="str">
        <f t="shared" si="42"/>
        <v>45400本地二区-早班</v>
      </c>
      <c r="U350" s="2">
        <f t="shared" si="43"/>
        <v>3.9627899999999999E-3</v>
      </c>
      <c r="V350" s="2" t="str">
        <f t="shared" si="44"/>
        <v>李晓晗</v>
      </c>
    </row>
    <row r="351" spans="1:22" ht="16.5" x14ac:dyDescent="0.4">
      <c r="A351" s="4" t="s">
        <v>92</v>
      </c>
      <c r="B351" s="70" t="s">
        <v>104</v>
      </c>
      <c r="C351" s="4" t="s">
        <v>133</v>
      </c>
      <c r="D351" s="4">
        <v>172</v>
      </c>
      <c r="E351" s="4">
        <v>129</v>
      </c>
      <c r="F351" s="5">
        <v>35219</v>
      </c>
      <c r="G351" s="5">
        <v>115970</v>
      </c>
      <c r="H351" s="6">
        <v>-80751</v>
      </c>
      <c r="I351" s="4" t="s">
        <v>101</v>
      </c>
      <c r="J351" s="5">
        <v>2168501</v>
      </c>
      <c r="K351" s="5">
        <v>35219</v>
      </c>
      <c r="L351" s="5">
        <v>6617083</v>
      </c>
      <c r="M351" s="5">
        <v>42487</v>
      </c>
      <c r="N351" s="7" t="s">
        <v>712</v>
      </c>
      <c r="O351" s="7" t="s">
        <v>713</v>
      </c>
      <c r="P351" s="11">
        <v>45400</v>
      </c>
      <c r="Q351" s="2" t="str">
        <f t="shared" si="40"/>
        <v>45400下午班本地一区</v>
      </c>
      <c r="R351" s="2">
        <f t="shared" si="45"/>
        <v>6617083</v>
      </c>
      <c r="S351" s="2">
        <f t="shared" si="45"/>
        <v>42487</v>
      </c>
      <c r="T351" s="2" t="str">
        <f t="shared" si="42"/>
        <v>45400本地一区-下午班</v>
      </c>
      <c r="U351" s="2">
        <f t="shared" si="43"/>
        <v>6.4208099999999999E-3</v>
      </c>
      <c r="V351" s="2" t="str">
        <f t="shared" si="44"/>
        <v>林好男</v>
      </c>
    </row>
    <row r="352" spans="1:22" ht="16.5" x14ac:dyDescent="0.4">
      <c r="A352" s="4" t="s">
        <v>92</v>
      </c>
      <c r="B352" s="70" t="s">
        <v>105</v>
      </c>
      <c r="C352" s="4" t="s">
        <v>111</v>
      </c>
      <c r="D352" s="4">
        <v>151</v>
      </c>
      <c r="E352" s="4">
        <v>112</v>
      </c>
      <c r="F352" s="5">
        <v>31894</v>
      </c>
      <c r="G352" s="5">
        <v>93717</v>
      </c>
      <c r="H352" s="6">
        <v>-61823</v>
      </c>
      <c r="I352" s="4" t="s">
        <v>101</v>
      </c>
      <c r="J352" s="5">
        <v>6469940</v>
      </c>
      <c r="K352" s="5">
        <v>31894</v>
      </c>
      <c r="L352" s="5">
        <v>8670219</v>
      </c>
      <c r="M352" s="5">
        <v>32808</v>
      </c>
      <c r="N352" s="7" t="s">
        <v>527</v>
      </c>
      <c r="O352" s="7" t="s">
        <v>714</v>
      </c>
      <c r="P352" s="11">
        <v>45400</v>
      </c>
      <c r="Q352" s="2" t="str">
        <f t="shared" si="40"/>
        <v>45400下午班本地二区</v>
      </c>
      <c r="R352" s="2">
        <f t="shared" si="45"/>
        <v>8670219</v>
      </c>
      <c r="S352" s="2">
        <f t="shared" si="45"/>
        <v>32808</v>
      </c>
      <c r="T352" s="2" t="str">
        <f t="shared" si="42"/>
        <v>45400本地二区-下午班</v>
      </c>
      <c r="U352" s="2">
        <f t="shared" si="43"/>
        <v>3.7839900000000001E-3</v>
      </c>
      <c r="V352" s="2" t="str">
        <f t="shared" si="44"/>
        <v>陈楠</v>
      </c>
    </row>
    <row r="353" spans="1:22" ht="16.5" x14ac:dyDescent="0.4">
      <c r="A353" s="4" t="s">
        <v>93</v>
      </c>
      <c r="B353" s="70" t="s">
        <v>104</v>
      </c>
      <c r="C353" s="4" t="s">
        <v>158</v>
      </c>
      <c r="D353" s="4">
        <v>184</v>
      </c>
      <c r="E353" s="4">
        <v>105</v>
      </c>
      <c r="F353" s="5">
        <v>33882</v>
      </c>
      <c r="G353" s="5">
        <v>115970</v>
      </c>
      <c r="H353" s="6">
        <v>-82088</v>
      </c>
      <c r="I353" s="4" t="s">
        <v>101</v>
      </c>
      <c r="J353" s="5">
        <v>3068522</v>
      </c>
      <c r="K353" s="5">
        <v>33882</v>
      </c>
      <c r="L353" s="5">
        <v>6430966</v>
      </c>
      <c r="M353" s="5">
        <v>36365</v>
      </c>
      <c r="N353" s="7" t="s">
        <v>157</v>
      </c>
      <c r="O353" s="7" t="s">
        <v>715</v>
      </c>
      <c r="P353" s="11">
        <v>45401</v>
      </c>
      <c r="Q353" s="2" t="str">
        <f t="shared" si="40"/>
        <v>45401早班本地一区</v>
      </c>
      <c r="R353" s="2">
        <f t="shared" si="45"/>
        <v>6430966</v>
      </c>
      <c r="S353" s="2">
        <f t="shared" si="45"/>
        <v>36365</v>
      </c>
      <c r="T353" s="2" t="str">
        <f t="shared" si="42"/>
        <v>45401本地一区-早班</v>
      </c>
      <c r="U353" s="2">
        <f t="shared" si="43"/>
        <v>5.6546699999999997E-3</v>
      </c>
      <c r="V353" s="2" t="str">
        <f t="shared" si="44"/>
        <v>李晓晗</v>
      </c>
    </row>
    <row r="354" spans="1:22" ht="16.5" x14ac:dyDescent="0.4">
      <c r="A354" s="4" t="s">
        <v>93</v>
      </c>
      <c r="B354" s="70" t="s">
        <v>105</v>
      </c>
      <c r="C354" s="4" t="s">
        <v>122</v>
      </c>
      <c r="D354" s="4">
        <v>168</v>
      </c>
      <c r="E354" s="4">
        <v>101</v>
      </c>
      <c r="F354" s="5">
        <v>22901</v>
      </c>
      <c r="G354" s="5">
        <v>93717</v>
      </c>
      <c r="H354" s="6">
        <v>-70816</v>
      </c>
      <c r="I354" s="4" t="s">
        <v>101</v>
      </c>
      <c r="J354" s="5">
        <v>2607837</v>
      </c>
      <c r="K354" s="5">
        <v>22901</v>
      </c>
      <c r="L354" s="5">
        <v>5072488</v>
      </c>
      <c r="M354" s="5">
        <v>24098</v>
      </c>
      <c r="N354" s="7" t="s">
        <v>334</v>
      </c>
      <c r="O354" s="7" t="s">
        <v>716</v>
      </c>
      <c r="P354" s="11">
        <v>45401</v>
      </c>
      <c r="Q354" s="2" t="str">
        <f t="shared" si="40"/>
        <v>45401早班本地二区</v>
      </c>
      <c r="R354" s="2">
        <f t="shared" ref="R354:S369" si="46">L354</f>
        <v>5072488</v>
      </c>
      <c r="S354" s="2">
        <f t="shared" si="46"/>
        <v>24098</v>
      </c>
      <c r="T354" s="2" t="str">
        <f t="shared" si="42"/>
        <v>45401本地二区-早班</v>
      </c>
      <c r="U354" s="2">
        <f t="shared" si="43"/>
        <v>4.7507299999999999E-3</v>
      </c>
      <c r="V354" s="2" t="str">
        <f t="shared" si="44"/>
        <v>赵依然</v>
      </c>
    </row>
    <row r="355" spans="1:22" ht="16.5" x14ac:dyDescent="0.4">
      <c r="A355" s="4" t="s">
        <v>92</v>
      </c>
      <c r="B355" s="70" t="s">
        <v>104</v>
      </c>
      <c r="C355" s="4" t="s">
        <v>133</v>
      </c>
      <c r="D355" s="4">
        <v>162</v>
      </c>
      <c r="E355" s="4">
        <v>132</v>
      </c>
      <c r="F355" s="5">
        <v>50644</v>
      </c>
      <c r="G355" s="5">
        <v>115970</v>
      </c>
      <c r="H355" s="6">
        <v>-65326</v>
      </c>
      <c r="I355" s="4" t="s">
        <v>101</v>
      </c>
      <c r="J355" s="5">
        <v>3071552</v>
      </c>
      <c r="K355" s="5">
        <v>50644</v>
      </c>
      <c r="L355" s="5">
        <v>9011424</v>
      </c>
      <c r="M355" s="5">
        <v>57203</v>
      </c>
      <c r="N355" s="7" t="s">
        <v>138</v>
      </c>
      <c r="O355" s="7" t="s">
        <v>717</v>
      </c>
      <c r="P355" s="11">
        <v>45401</v>
      </c>
      <c r="Q355" s="2" t="str">
        <f t="shared" si="40"/>
        <v>45401下午班本地一区</v>
      </c>
      <c r="R355" s="2">
        <f t="shared" si="46"/>
        <v>9011424</v>
      </c>
      <c r="S355" s="2">
        <f t="shared" si="46"/>
        <v>57203</v>
      </c>
      <c r="T355" s="2" t="str">
        <f t="shared" si="42"/>
        <v>45401本地一区-下午班</v>
      </c>
      <c r="U355" s="2">
        <f t="shared" si="43"/>
        <v>6.3478299999999996E-3</v>
      </c>
      <c r="V355" s="2" t="str">
        <f t="shared" si="44"/>
        <v>林好男</v>
      </c>
    </row>
    <row r="356" spans="1:22" ht="16.5" x14ac:dyDescent="0.4">
      <c r="A356" s="4" t="s">
        <v>92</v>
      </c>
      <c r="B356" s="70" t="s">
        <v>105</v>
      </c>
      <c r="C356" s="4" t="s">
        <v>111</v>
      </c>
      <c r="D356" s="4">
        <v>152</v>
      </c>
      <c r="E356" s="4">
        <v>108</v>
      </c>
      <c r="F356" s="5">
        <v>33677</v>
      </c>
      <c r="G356" s="5">
        <v>93717</v>
      </c>
      <c r="H356" s="6">
        <v>-60040</v>
      </c>
      <c r="I356" s="4" t="s">
        <v>101</v>
      </c>
      <c r="J356" s="5">
        <v>2726365</v>
      </c>
      <c r="K356" s="5">
        <v>33677</v>
      </c>
      <c r="L356" s="5">
        <v>5826955</v>
      </c>
      <c r="M356" s="5">
        <v>35648</v>
      </c>
      <c r="N356" s="7" t="s">
        <v>117</v>
      </c>
      <c r="O356" s="7" t="s">
        <v>718</v>
      </c>
      <c r="P356" s="11">
        <v>45401</v>
      </c>
      <c r="Q356" s="2" t="str">
        <f t="shared" si="40"/>
        <v>45401下午班本地二区</v>
      </c>
      <c r="R356" s="2">
        <f t="shared" si="46"/>
        <v>5826955</v>
      </c>
      <c r="S356" s="2">
        <f t="shared" si="46"/>
        <v>35648</v>
      </c>
      <c r="T356" s="2" t="str">
        <f t="shared" si="42"/>
        <v>45401本地二区-下午班</v>
      </c>
      <c r="U356" s="2">
        <f t="shared" si="43"/>
        <v>6.1177799999999997E-3</v>
      </c>
      <c r="V356" s="2" t="str">
        <f t="shared" si="44"/>
        <v>陈楠</v>
      </c>
    </row>
    <row r="357" spans="1:22" ht="16.5" x14ac:dyDescent="0.4">
      <c r="A357" s="4" t="s">
        <v>93</v>
      </c>
      <c r="B357" s="70" t="s">
        <v>178</v>
      </c>
      <c r="C357" s="4" t="s">
        <v>133</v>
      </c>
      <c r="D357" s="4">
        <v>249</v>
      </c>
      <c r="E357" s="4">
        <v>184</v>
      </c>
      <c r="F357" s="5">
        <v>50168</v>
      </c>
      <c r="G357" s="5">
        <v>209686</v>
      </c>
      <c r="H357" s="6">
        <v>-159518</v>
      </c>
      <c r="I357" s="4" t="s">
        <v>101</v>
      </c>
      <c r="J357" s="5">
        <v>7080149</v>
      </c>
      <c r="K357" s="5">
        <v>50168</v>
      </c>
      <c r="L357" s="5">
        <v>13220978</v>
      </c>
      <c r="M357" s="5">
        <v>54013</v>
      </c>
      <c r="N357" s="7" t="s">
        <v>161</v>
      </c>
      <c r="O357" s="7" t="s">
        <v>719</v>
      </c>
      <c r="P357" s="11">
        <v>45402</v>
      </c>
      <c r="Q357" s="2" t="str">
        <f t="shared" si="40"/>
        <v>45402早班本地所有</v>
      </c>
      <c r="R357" s="2">
        <f t="shared" si="46"/>
        <v>13220978</v>
      </c>
      <c r="S357" s="2">
        <f t="shared" si="46"/>
        <v>54013</v>
      </c>
      <c r="T357" s="2" t="str">
        <f t="shared" si="42"/>
        <v>45402本地所有-早班</v>
      </c>
      <c r="U357" s="2">
        <f t="shared" si="43"/>
        <v>4.0854000000000003E-3</v>
      </c>
      <c r="V357" s="2" t="str">
        <f t="shared" si="44"/>
        <v>林好男</v>
      </c>
    </row>
    <row r="358" spans="1:22" ht="16.5" x14ac:dyDescent="0.4">
      <c r="A358" s="4" t="s">
        <v>92</v>
      </c>
      <c r="B358" s="70" t="s">
        <v>178</v>
      </c>
      <c r="C358" s="4" t="s">
        <v>111</v>
      </c>
      <c r="D358" s="4">
        <v>175</v>
      </c>
      <c r="E358" s="4">
        <v>135</v>
      </c>
      <c r="F358" s="5">
        <v>65149</v>
      </c>
      <c r="G358" s="5">
        <v>209686</v>
      </c>
      <c r="H358" s="6">
        <v>-144537</v>
      </c>
      <c r="I358" s="4" t="s">
        <v>101</v>
      </c>
      <c r="J358" s="5">
        <v>7720102</v>
      </c>
      <c r="K358" s="5">
        <v>65149</v>
      </c>
      <c r="L358" s="5">
        <v>13727273</v>
      </c>
      <c r="M358" s="5">
        <v>69196</v>
      </c>
      <c r="N358" s="7" t="s">
        <v>561</v>
      </c>
      <c r="O358" s="7" t="s">
        <v>720</v>
      </c>
      <c r="P358" s="11">
        <v>45402</v>
      </c>
      <c r="Q358" s="2" t="str">
        <f t="shared" si="40"/>
        <v>45402下午班本地所有</v>
      </c>
      <c r="R358" s="2">
        <f t="shared" si="46"/>
        <v>13727273</v>
      </c>
      <c r="S358" s="2">
        <f t="shared" si="46"/>
        <v>69196</v>
      </c>
      <c r="T358" s="2" t="str">
        <f t="shared" si="42"/>
        <v>45402本地所有-下午班</v>
      </c>
      <c r="U358" s="2">
        <f t="shared" si="43"/>
        <v>5.04077E-3</v>
      </c>
      <c r="V358" s="2" t="str">
        <f t="shared" si="44"/>
        <v>陈楠</v>
      </c>
    </row>
    <row r="359" spans="1:22" ht="16.5" x14ac:dyDescent="0.4">
      <c r="A359" s="4" t="s">
        <v>93</v>
      </c>
      <c r="B359" s="70" t="s">
        <v>104</v>
      </c>
      <c r="C359" s="4" t="s">
        <v>110</v>
      </c>
      <c r="D359" s="4">
        <v>187</v>
      </c>
      <c r="E359" s="4">
        <v>122</v>
      </c>
      <c r="F359" s="5">
        <v>34849</v>
      </c>
      <c r="G359" s="5">
        <v>115970</v>
      </c>
      <c r="H359" s="6">
        <v>-81121</v>
      </c>
      <c r="I359" s="4" t="s">
        <v>101</v>
      </c>
      <c r="J359" s="5">
        <v>3062080</v>
      </c>
      <c r="K359" s="5">
        <v>34849</v>
      </c>
      <c r="L359" s="5">
        <v>8390268</v>
      </c>
      <c r="M359" s="5">
        <v>39455</v>
      </c>
      <c r="N359" s="7" t="s">
        <v>721</v>
      </c>
      <c r="O359" s="7" t="s">
        <v>722</v>
      </c>
      <c r="P359" s="11">
        <v>45403</v>
      </c>
      <c r="Q359" s="2" t="str">
        <f t="shared" si="40"/>
        <v>45403早班本地一区</v>
      </c>
      <c r="R359" s="2">
        <f t="shared" si="46"/>
        <v>8390268</v>
      </c>
      <c r="S359" s="2">
        <f t="shared" si="46"/>
        <v>39455</v>
      </c>
      <c r="T359" s="2" t="str">
        <f t="shared" si="42"/>
        <v>45403本地一区-早班</v>
      </c>
      <c r="U359" s="2">
        <f t="shared" si="43"/>
        <v>4.7024700000000003E-3</v>
      </c>
      <c r="V359" s="2" t="str">
        <f t="shared" si="44"/>
        <v>赵勇</v>
      </c>
    </row>
    <row r="360" spans="1:22" ht="16.5" x14ac:dyDescent="0.4">
      <c r="A360" s="4" t="s">
        <v>93</v>
      </c>
      <c r="B360" s="70" t="s">
        <v>105</v>
      </c>
      <c r="C360" s="4" t="s">
        <v>122</v>
      </c>
      <c r="D360" s="4">
        <v>154</v>
      </c>
      <c r="E360" s="4">
        <v>95</v>
      </c>
      <c r="F360" s="5">
        <v>22273</v>
      </c>
      <c r="G360" s="5">
        <v>93717</v>
      </c>
      <c r="H360" s="6">
        <v>-71444</v>
      </c>
      <c r="I360" s="4" t="s">
        <v>101</v>
      </c>
      <c r="J360" s="5">
        <v>4001941</v>
      </c>
      <c r="K360" s="5">
        <v>22273</v>
      </c>
      <c r="L360" s="5">
        <v>6199566</v>
      </c>
      <c r="M360" s="5">
        <v>23252</v>
      </c>
      <c r="N360" s="7" t="s">
        <v>400</v>
      </c>
      <c r="O360" s="7" t="s">
        <v>723</v>
      </c>
      <c r="P360" s="11">
        <v>45403</v>
      </c>
      <c r="Q360" s="2" t="str">
        <f t="shared" si="40"/>
        <v>45403早班本地二区</v>
      </c>
      <c r="R360" s="2">
        <f t="shared" si="46"/>
        <v>6199566</v>
      </c>
      <c r="S360" s="2">
        <f t="shared" si="46"/>
        <v>23252</v>
      </c>
      <c r="T360" s="2" t="str">
        <f t="shared" si="42"/>
        <v>45403本地二区-早班</v>
      </c>
      <c r="U360" s="2">
        <f t="shared" si="43"/>
        <v>3.7505899999999998E-3</v>
      </c>
      <c r="V360" s="2" t="str">
        <f t="shared" si="44"/>
        <v>赵依然</v>
      </c>
    </row>
    <row r="361" spans="1:22" ht="16.5" x14ac:dyDescent="0.4">
      <c r="A361" s="4" t="s">
        <v>92</v>
      </c>
      <c r="B361" s="70" t="s">
        <v>178</v>
      </c>
      <c r="C361" s="4" t="s">
        <v>111</v>
      </c>
      <c r="D361" s="4">
        <v>154</v>
      </c>
      <c r="E361" s="4">
        <v>124</v>
      </c>
      <c r="F361" s="5">
        <v>63693</v>
      </c>
      <c r="G361" s="5">
        <v>209686</v>
      </c>
      <c r="H361" s="6">
        <v>-145993</v>
      </c>
      <c r="I361" s="4" t="s">
        <v>101</v>
      </c>
      <c r="J361" s="5">
        <v>8383528</v>
      </c>
      <c r="K361" s="5">
        <v>63693</v>
      </c>
      <c r="L361" s="5">
        <v>15421486</v>
      </c>
      <c r="M361" s="5">
        <v>68723</v>
      </c>
      <c r="N361" s="7" t="s">
        <v>578</v>
      </c>
      <c r="O361" s="7" t="s">
        <v>724</v>
      </c>
      <c r="P361" s="11">
        <v>45403</v>
      </c>
      <c r="Q361" s="2" t="str">
        <f t="shared" si="40"/>
        <v>45403下午班本地所有</v>
      </c>
      <c r="R361" s="2">
        <f t="shared" si="46"/>
        <v>15421486</v>
      </c>
      <c r="S361" s="2">
        <f t="shared" si="46"/>
        <v>68723</v>
      </c>
      <c r="T361" s="2" t="str">
        <f t="shared" si="42"/>
        <v>45403本地所有-下午班</v>
      </c>
      <c r="U361" s="2">
        <f t="shared" si="43"/>
        <v>4.4563199999999997E-3</v>
      </c>
      <c r="V361" s="2" t="str">
        <f t="shared" si="44"/>
        <v>陈楠</v>
      </c>
    </row>
    <row r="362" spans="1:22" ht="16.5" x14ac:dyDescent="0.4">
      <c r="A362" s="4" t="s">
        <v>93</v>
      </c>
      <c r="B362" s="70" t="s">
        <v>104</v>
      </c>
      <c r="C362" s="4" t="s">
        <v>133</v>
      </c>
      <c r="D362" s="4">
        <v>185</v>
      </c>
      <c r="E362" s="4">
        <v>124</v>
      </c>
      <c r="F362" s="5">
        <v>26474</v>
      </c>
      <c r="G362" s="5">
        <v>115970</v>
      </c>
      <c r="H362" s="6">
        <v>-89496</v>
      </c>
      <c r="I362" s="4" t="s">
        <v>101</v>
      </c>
      <c r="J362" s="5">
        <v>1027550</v>
      </c>
      <c r="K362" s="5">
        <v>26474</v>
      </c>
      <c r="L362" s="5">
        <v>4566702</v>
      </c>
      <c r="M362" s="5">
        <v>28443</v>
      </c>
      <c r="N362" s="7" t="s">
        <v>725</v>
      </c>
      <c r="O362" s="7" t="s">
        <v>726</v>
      </c>
      <c r="P362" s="11">
        <v>45404</v>
      </c>
      <c r="Q362" s="2" t="str">
        <f t="shared" si="40"/>
        <v>45404早班本地一区</v>
      </c>
      <c r="R362" s="2">
        <f t="shared" si="46"/>
        <v>4566702</v>
      </c>
      <c r="S362" s="2">
        <f t="shared" si="46"/>
        <v>28443</v>
      </c>
      <c r="T362" s="2" t="str">
        <f t="shared" si="42"/>
        <v>45404本地一区-早班</v>
      </c>
      <c r="U362" s="2">
        <f t="shared" si="43"/>
        <v>6.2283499999999997E-3</v>
      </c>
      <c r="V362" s="2" t="str">
        <f t="shared" si="44"/>
        <v>林好男</v>
      </c>
    </row>
    <row r="363" spans="1:22" ht="16.5" x14ac:dyDescent="0.4">
      <c r="A363" s="4" t="s">
        <v>93</v>
      </c>
      <c r="B363" s="70" t="s">
        <v>105</v>
      </c>
      <c r="C363" s="4" t="s">
        <v>122</v>
      </c>
      <c r="D363" s="4">
        <v>165</v>
      </c>
      <c r="E363" s="4">
        <v>102</v>
      </c>
      <c r="F363" s="5">
        <v>22128</v>
      </c>
      <c r="G363" s="5">
        <v>93717</v>
      </c>
      <c r="H363" s="6">
        <v>-71589</v>
      </c>
      <c r="I363" s="4" t="s">
        <v>101</v>
      </c>
      <c r="J363" s="5">
        <v>3436642</v>
      </c>
      <c r="K363" s="5">
        <v>22128</v>
      </c>
      <c r="L363" s="5">
        <v>5789419</v>
      </c>
      <c r="M363" s="5">
        <v>23193</v>
      </c>
      <c r="N363" s="7" t="s">
        <v>419</v>
      </c>
      <c r="O363" s="7" t="s">
        <v>727</v>
      </c>
      <c r="P363" s="11">
        <v>45404</v>
      </c>
      <c r="Q363" s="2" t="str">
        <f t="shared" si="40"/>
        <v>45404早班本地二区</v>
      </c>
      <c r="R363" s="2">
        <f t="shared" si="46"/>
        <v>5789419</v>
      </c>
      <c r="S363" s="2">
        <f t="shared" si="46"/>
        <v>23193</v>
      </c>
      <c r="T363" s="2" t="str">
        <f t="shared" si="42"/>
        <v>45404本地二区-早班</v>
      </c>
      <c r="U363" s="2">
        <f t="shared" si="43"/>
        <v>4.0061000000000003E-3</v>
      </c>
      <c r="V363" s="2" t="str">
        <f t="shared" si="44"/>
        <v>赵依然</v>
      </c>
    </row>
    <row r="364" spans="1:22" ht="16.5" x14ac:dyDescent="0.4">
      <c r="A364" s="4" t="s">
        <v>92</v>
      </c>
      <c r="B364" s="70" t="s">
        <v>104</v>
      </c>
      <c r="C364" s="4" t="s">
        <v>110</v>
      </c>
      <c r="D364" s="4">
        <v>162</v>
      </c>
      <c r="E364" s="4">
        <v>125</v>
      </c>
      <c r="F364" s="5">
        <v>37400</v>
      </c>
      <c r="G364" s="5">
        <v>115970</v>
      </c>
      <c r="H364" s="6">
        <v>-78570</v>
      </c>
      <c r="I364" s="4" t="s">
        <v>101</v>
      </c>
      <c r="J364" s="5">
        <v>3712314</v>
      </c>
      <c r="K364" s="5">
        <v>37400</v>
      </c>
      <c r="L364" s="5">
        <v>9344107</v>
      </c>
      <c r="M364" s="5">
        <v>42002</v>
      </c>
      <c r="N364" s="7" t="s">
        <v>665</v>
      </c>
      <c r="O364" s="7" t="s">
        <v>728</v>
      </c>
      <c r="P364" s="11">
        <v>45404</v>
      </c>
      <c r="Q364" s="2" t="str">
        <f t="shared" si="40"/>
        <v>45404下午班本地一区</v>
      </c>
      <c r="R364" s="2">
        <f t="shared" si="46"/>
        <v>9344107</v>
      </c>
      <c r="S364" s="2">
        <f t="shared" si="46"/>
        <v>42002</v>
      </c>
      <c r="T364" s="2" t="str">
        <f t="shared" si="42"/>
        <v>45404本地一区-下午班</v>
      </c>
      <c r="U364" s="2">
        <f t="shared" si="43"/>
        <v>4.4950299999999997E-3</v>
      </c>
      <c r="V364" s="2" t="str">
        <f t="shared" si="44"/>
        <v>赵勇</v>
      </c>
    </row>
    <row r="365" spans="1:22" ht="16.5" x14ac:dyDescent="0.4">
      <c r="A365" s="4" t="s">
        <v>92</v>
      </c>
      <c r="B365" s="70" t="s">
        <v>105</v>
      </c>
      <c r="C365" s="4" t="s">
        <v>111</v>
      </c>
      <c r="D365" s="4">
        <v>155</v>
      </c>
      <c r="E365" s="4">
        <v>118</v>
      </c>
      <c r="F365" s="5">
        <v>38724</v>
      </c>
      <c r="G365" s="5">
        <v>93717</v>
      </c>
      <c r="H365" s="6">
        <v>-54993</v>
      </c>
      <c r="I365" s="4" t="s">
        <v>101</v>
      </c>
      <c r="J365" s="5">
        <v>7587105</v>
      </c>
      <c r="K365" s="5">
        <v>38724</v>
      </c>
      <c r="L365" s="5">
        <v>10147353</v>
      </c>
      <c r="M365" s="5">
        <v>39691</v>
      </c>
      <c r="N365" s="7" t="s">
        <v>449</v>
      </c>
      <c r="O365" s="7" t="s">
        <v>729</v>
      </c>
      <c r="P365" s="11">
        <v>45404</v>
      </c>
      <c r="Q365" s="2" t="str">
        <f t="shared" si="40"/>
        <v>45404下午班本地二区</v>
      </c>
      <c r="R365" s="2">
        <f t="shared" si="46"/>
        <v>10147353</v>
      </c>
      <c r="S365" s="2">
        <f t="shared" si="46"/>
        <v>39691</v>
      </c>
      <c r="T365" s="2" t="str">
        <f t="shared" si="42"/>
        <v>45404本地二区-下午班</v>
      </c>
      <c r="U365" s="2">
        <f t="shared" si="43"/>
        <v>3.9114600000000003E-3</v>
      </c>
      <c r="V365" s="2" t="str">
        <f t="shared" si="44"/>
        <v>陈楠</v>
      </c>
    </row>
    <row r="366" spans="1:22" ht="16.5" x14ac:dyDescent="0.4">
      <c r="A366" s="4" t="s">
        <v>93</v>
      </c>
      <c r="B366" s="70" t="s">
        <v>104</v>
      </c>
      <c r="C366" s="4" t="s">
        <v>122</v>
      </c>
      <c r="D366" s="4">
        <v>206</v>
      </c>
      <c r="E366" s="4">
        <v>111</v>
      </c>
      <c r="F366" s="5">
        <v>29783</v>
      </c>
      <c r="G366" s="5">
        <v>115970</v>
      </c>
      <c r="H366" s="6">
        <v>-86187</v>
      </c>
      <c r="I366" s="4" t="s">
        <v>101</v>
      </c>
      <c r="J366" s="5">
        <v>565486</v>
      </c>
      <c r="K366" s="5">
        <v>29783</v>
      </c>
      <c r="L366" s="5">
        <v>4949362</v>
      </c>
      <c r="M366" s="5">
        <v>34088</v>
      </c>
      <c r="N366" s="7" t="s">
        <v>730</v>
      </c>
      <c r="O366" s="7" t="s">
        <v>731</v>
      </c>
      <c r="P366" s="11">
        <v>45405</v>
      </c>
      <c r="Q366" s="2" t="str">
        <f t="shared" si="40"/>
        <v>45405早班本地一区</v>
      </c>
      <c r="R366" s="2">
        <f t="shared" si="46"/>
        <v>4949362</v>
      </c>
      <c r="S366" s="2">
        <f t="shared" si="46"/>
        <v>34088</v>
      </c>
      <c r="T366" s="2" t="str">
        <f t="shared" si="42"/>
        <v>45405本地一区-早班</v>
      </c>
      <c r="U366" s="2">
        <f t="shared" si="43"/>
        <v>6.8873500000000004E-3</v>
      </c>
      <c r="V366" s="2" t="str">
        <f t="shared" si="44"/>
        <v>赵依然</v>
      </c>
    </row>
    <row r="367" spans="1:22" ht="16.5" x14ac:dyDescent="0.4">
      <c r="A367" s="4" t="s">
        <v>93</v>
      </c>
      <c r="B367" s="70" t="s">
        <v>105</v>
      </c>
      <c r="C367" s="4" t="s">
        <v>133</v>
      </c>
      <c r="D367" s="4">
        <v>194</v>
      </c>
      <c r="E367" s="4">
        <v>130</v>
      </c>
      <c r="F367" s="5">
        <v>19659</v>
      </c>
      <c r="G367" s="5">
        <v>93717</v>
      </c>
      <c r="H367" s="6">
        <v>-74058</v>
      </c>
      <c r="I367" s="4" t="s">
        <v>101</v>
      </c>
      <c r="J367" s="5">
        <v>567274</v>
      </c>
      <c r="K367" s="5">
        <v>19659</v>
      </c>
      <c r="L367" s="5">
        <v>2887794</v>
      </c>
      <c r="M367" s="5">
        <v>20993</v>
      </c>
      <c r="N367" s="7" t="s">
        <v>732</v>
      </c>
      <c r="O367" s="7" t="s">
        <v>733</v>
      </c>
      <c r="P367" s="11">
        <v>45405</v>
      </c>
      <c r="Q367" s="2" t="str">
        <f t="shared" si="40"/>
        <v>45405早班本地二区</v>
      </c>
      <c r="R367" s="2">
        <f t="shared" si="46"/>
        <v>2887794</v>
      </c>
      <c r="S367" s="2">
        <f t="shared" si="46"/>
        <v>20993</v>
      </c>
      <c r="T367" s="2" t="str">
        <f t="shared" si="42"/>
        <v>45405本地二区-早班</v>
      </c>
      <c r="U367" s="2">
        <f t="shared" si="43"/>
        <v>7.2695600000000004E-3</v>
      </c>
      <c r="V367" s="2" t="str">
        <f t="shared" si="44"/>
        <v>林好男</v>
      </c>
    </row>
    <row r="368" spans="1:22" ht="16.5" x14ac:dyDescent="0.4">
      <c r="A368" s="4" t="s">
        <v>92</v>
      </c>
      <c r="B368" s="70" t="s">
        <v>104</v>
      </c>
      <c r="C368" s="4" t="s">
        <v>110</v>
      </c>
      <c r="D368" s="4">
        <v>182</v>
      </c>
      <c r="E368" s="4">
        <v>145</v>
      </c>
      <c r="F368" s="5">
        <v>41345</v>
      </c>
      <c r="G368" s="5">
        <v>115970</v>
      </c>
      <c r="H368" s="6">
        <v>-74625</v>
      </c>
      <c r="I368" s="4" t="s">
        <v>101</v>
      </c>
      <c r="J368" s="5">
        <v>2740977</v>
      </c>
      <c r="K368" s="5">
        <v>41345</v>
      </c>
      <c r="L368" s="5">
        <v>7311305</v>
      </c>
      <c r="M368" s="5">
        <v>47248</v>
      </c>
      <c r="N368" s="7" t="s">
        <v>280</v>
      </c>
      <c r="O368" s="7" t="s">
        <v>734</v>
      </c>
      <c r="P368" s="11">
        <v>45405</v>
      </c>
      <c r="Q368" s="2" t="str">
        <f t="shared" si="40"/>
        <v>45405下午班本地一区</v>
      </c>
      <c r="R368" s="2">
        <f t="shared" si="46"/>
        <v>7311305</v>
      </c>
      <c r="S368" s="2">
        <f t="shared" si="46"/>
        <v>47248</v>
      </c>
      <c r="T368" s="2" t="str">
        <f t="shared" si="42"/>
        <v>45405本地一区-下午班</v>
      </c>
      <c r="U368" s="2">
        <f t="shared" si="43"/>
        <v>6.4623199999999997E-3</v>
      </c>
      <c r="V368" s="2" t="str">
        <f t="shared" si="44"/>
        <v>赵勇</v>
      </c>
    </row>
    <row r="369" spans="1:22" ht="16.5" x14ac:dyDescent="0.4">
      <c r="A369" s="4" t="s">
        <v>92</v>
      </c>
      <c r="B369" s="70" t="s">
        <v>105</v>
      </c>
      <c r="C369" s="4" t="s">
        <v>158</v>
      </c>
      <c r="D369" s="4">
        <v>187</v>
      </c>
      <c r="E369" s="4">
        <v>110</v>
      </c>
      <c r="F369" s="5">
        <v>25448</v>
      </c>
      <c r="G369" s="5">
        <v>93717</v>
      </c>
      <c r="H369" s="6">
        <v>-68269</v>
      </c>
      <c r="I369" s="4" t="s">
        <v>101</v>
      </c>
      <c r="J369" s="5">
        <v>2238211</v>
      </c>
      <c r="K369" s="5">
        <v>25448</v>
      </c>
      <c r="L369" s="5">
        <v>4094763</v>
      </c>
      <c r="M369" s="5">
        <v>27609</v>
      </c>
      <c r="N369" s="7" t="s">
        <v>721</v>
      </c>
      <c r="O369" s="7" t="s">
        <v>735</v>
      </c>
      <c r="P369" s="11">
        <v>45405</v>
      </c>
      <c r="Q369" s="2" t="str">
        <f t="shared" si="40"/>
        <v>45405下午班本地二区</v>
      </c>
      <c r="R369" s="2">
        <f t="shared" si="46"/>
        <v>4094763</v>
      </c>
      <c r="S369" s="2">
        <f t="shared" si="46"/>
        <v>27609</v>
      </c>
      <c r="T369" s="2" t="str">
        <f t="shared" si="42"/>
        <v>45405本地二区-下午班</v>
      </c>
      <c r="U369" s="2">
        <f t="shared" si="43"/>
        <v>6.7425100000000002E-3</v>
      </c>
      <c r="V369" s="2" t="str">
        <f t="shared" si="44"/>
        <v>李晓晗</v>
      </c>
    </row>
    <row r="370" spans="1:22" ht="16.5" x14ac:dyDescent="0.4">
      <c r="A370" s="4" t="s">
        <v>93</v>
      </c>
      <c r="B370" s="70" t="s">
        <v>104</v>
      </c>
      <c r="C370" s="4" t="s">
        <v>133</v>
      </c>
      <c r="D370" s="4">
        <v>169</v>
      </c>
      <c r="E370" s="4">
        <v>127</v>
      </c>
      <c r="F370" s="5">
        <v>36313</v>
      </c>
      <c r="G370" s="5">
        <v>115970</v>
      </c>
      <c r="H370" s="6">
        <v>-79657</v>
      </c>
      <c r="I370" s="4" t="s">
        <v>101</v>
      </c>
      <c r="J370" s="5">
        <v>3916199</v>
      </c>
      <c r="K370" s="5">
        <v>36313</v>
      </c>
      <c r="L370" s="5">
        <v>8261279</v>
      </c>
      <c r="M370" s="5">
        <v>39461</v>
      </c>
      <c r="N370" s="7" t="s">
        <v>323</v>
      </c>
      <c r="O370" s="7" t="s">
        <v>736</v>
      </c>
      <c r="P370" s="11">
        <v>45406</v>
      </c>
      <c r="Q370" s="2" t="str">
        <f t="shared" si="40"/>
        <v>45406早班本地一区</v>
      </c>
      <c r="R370" s="2">
        <f t="shared" ref="R370:S384" si="47">L370</f>
        <v>8261279</v>
      </c>
      <c r="S370" s="2">
        <f t="shared" si="47"/>
        <v>39461</v>
      </c>
      <c r="T370" s="2" t="str">
        <f t="shared" si="42"/>
        <v>45406本地一区-早班</v>
      </c>
      <c r="U370" s="2">
        <f t="shared" si="43"/>
        <v>4.7766199999999997E-3</v>
      </c>
      <c r="V370" s="2" t="str">
        <f t="shared" si="44"/>
        <v>林好男</v>
      </c>
    </row>
    <row r="371" spans="1:22" ht="16.5" x14ac:dyDescent="0.4">
      <c r="A371" s="4" t="s">
        <v>93</v>
      </c>
      <c r="B371" s="70" t="s">
        <v>105</v>
      </c>
      <c r="C371" s="4" t="s">
        <v>111</v>
      </c>
      <c r="D371" s="4">
        <v>153</v>
      </c>
      <c r="E371" s="4">
        <v>107</v>
      </c>
      <c r="F371" s="5">
        <v>26350</v>
      </c>
      <c r="G371" s="5">
        <v>93717</v>
      </c>
      <c r="H371" s="6">
        <v>-67367</v>
      </c>
      <c r="I371" s="4" t="s">
        <v>101</v>
      </c>
      <c r="J371" s="5">
        <v>3908512</v>
      </c>
      <c r="K371" s="5">
        <v>26350</v>
      </c>
      <c r="L371" s="5">
        <v>8445531</v>
      </c>
      <c r="M371" s="5">
        <v>27863</v>
      </c>
      <c r="N371" s="7" t="s">
        <v>299</v>
      </c>
      <c r="O371" s="7" t="s">
        <v>737</v>
      </c>
      <c r="P371" s="11">
        <v>45406</v>
      </c>
      <c r="Q371" s="2" t="str">
        <f t="shared" si="40"/>
        <v>45406早班本地二区</v>
      </c>
      <c r="R371" s="2">
        <f t="shared" si="47"/>
        <v>8445531</v>
      </c>
      <c r="S371" s="2">
        <f t="shared" si="47"/>
        <v>27863</v>
      </c>
      <c r="T371" s="2" t="str">
        <f t="shared" si="42"/>
        <v>45406本地二区-早班</v>
      </c>
      <c r="U371" s="2">
        <f t="shared" si="43"/>
        <v>3.2991399999999999E-3</v>
      </c>
      <c r="V371" s="2" t="str">
        <f t="shared" si="44"/>
        <v>陈楠</v>
      </c>
    </row>
    <row r="372" spans="1:22" ht="16.5" x14ac:dyDescent="0.4">
      <c r="A372" s="4" t="s">
        <v>92</v>
      </c>
      <c r="B372" s="70" t="s">
        <v>104</v>
      </c>
      <c r="C372" s="4" t="s">
        <v>158</v>
      </c>
      <c r="D372" s="4">
        <v>192</v>
      </c>
      <c r="E372" s="4">
        <v>110</v>
      </c>
      <c r="F372" s="5">
        <v>37595</v>
      </c>
      <c r="G372" s="5">
        <v>115970</v>
      </c>
      <c r="H372" s="6">
        <v>-78375</v>
      </c>
      <c r="I372" s="4" t="s">
        <v>101</v>
      </c>
      <c r="J372" s="5">
        <v>2847907</v>
      </c>
      <c r="K372" s="5">
        <v>37595</v>
      </c>
      <c r="L372" s="5">
        <v>6021619</v>
      </c>
      <c r="M372" s="5">
        <v>40679</v>
      </c>
      <c r="N372" s="7" t="s">
        <v>738</v>
      </c>
      <c r="O372" s="7" t="s">
        <v>739</v>
      </c>
      <c r="P372" s="11">
        <v>45406</v>
      </c>
      <c r="Q372" s="2" t="str">
        <f t="shared" si="40"/>
        <v>45406下午班本地一区</v>
      </c>
      <c r="R372" s="2">
        <f t="shared" si="47"/>
        <v>6021619</v>
      </c>
      <c r="S372" s="2">
        <f t="shared" si="47"/>
        <v>40679</v>
      </c>
      <c r="T372" s="2" t="str">
        <f t="shared" si="42"/>
        <v>45406本地一区-下午班</v>
      </c>
      <c r="U372" s="2">
        <f t="shared" si="43"/>
        <v>6.7554900000000003E-3</v>
      </c>
      <c r="V372" s="2" t="str">
        <f t="shared" si="44"/>
        <v>李晓晗</v>
      </c>
    </row>
    <row r="373" spans="1:22" ht="16.5" x14ac:dyDescent="0.4">
      <c r="A373" s="4" t="s">
        <v>92</v>
      </c>
      <c r="B373" s="70" t="s">
        <v>105</v>
      </c>
      <c r="C373" s="4" t="s">
        <v>110</v>
      </c>
      <c r="D373" s="4">
        <v>164</v>
      </c>
      <c r="E373" s="4">
        <v>120</v>
      </c>
      <c r="F373" s="5">
        <v>38279</v>
      </c>
      <c r="G373" s="5">
        <v>93717</v>
      </c>
      <c r="H373" s="6">
        <v>-55438</v>
      </c>
      <c r="I373" s="4" t="s">
        <v>101</v>
      </c>
      <c r="J373" s="5">
        <v>5997617</v>
      </c>
      <c r="K373" s="5">
        <v>38279</v>
      </c>
      <c r="L373" s="5">
        <v>8606921</v>
      </c>
      <c r="M373" s="5">
        <v>40642</v>
      </c>
      <c r="N373" s="7" t="s">
        <v>419</v>
      </c>
      <c r="O373" s="7" t="s">
        <v>740</v>
      </c>
      <c r="P373" s="11">
        <v>45406</v>
      </c>
      <c r="Q373" s="2" t="str">
        <f t="shared" si="40"/>
        <v>45406下午班本地二区</v>
      </c>
      <c r="R373" s="2">
        <f t="shared" si="47"/>
        <v>8606921</v>
      </c>
      <c r="S373" s="2">
        <f t="shared" si="47"/>
        <v>40642</v>
      </c>
      <c r="T373" s="2" t="str">
        <f t="shared" si="42"/>
        <v>45406本地二区-下午班</v>
      </c>
      <c r="U373" s="2">
        <f t="shared" si="43"/>
        <v>4.7220099999999996E-3</v>
      </c>
      <c r="V373" s="2" t="str">
        <f t="shared" si="44"/>
        <v>赵勇</v>
      </c>
    </row>
    <row r="374" spans="1:22" ht="16.5" x14ac:dyDescent="0.4">
      <c r="A374" s="4" t="s">
        <v>93</v>
      </c>
      <c r="B374" s="70" t="s">
        <v>104</v>
      </c>
      <c r="C374" s="4" t="s">
        <v>122</v>
      </c>
      <c r="D374" s="4">
        <v>175</v>
      </c>
      <c r="E374" s="4">
        <v>101</v>
      </c>
      <c r="F374" s="5">
        <v>31263</v>
      </c>
      <c r="G374" s="5">
        <v>115970</v>
      </c>
      <c r="H374" s="6">
        <v>-84707</v>
      </c>
      <c r="I374" s="4" t="s">
        <v>101</v>
      </c>
      <c r="J374" s="5">
        <v>3985817</v>
      </c>
      <c r="K374" s="5">
        <v>31263</v>
      </c>
      <c r="L374" s="5">
        <v>8070927</v>
      </c>
      <c r="M374" s="5">
        <v>34251</v>
      </c>
      <c r="N374" s="7" t="s">
        <v>410</v>
      </c>
      <c r="O374" s="7" t="s">
        <v>742</v>
      </c>
      <c r="P374" s="11">
        <v>45407</v>
      </c>
      <c r="Q374" s="2" t="str">
        <f t="shared" si="40"/>
        <v>45407早班本地一区</v>
      </c>
      <c r="R374" s="2">
        <f t="shared" si="47"/>
        <v>8070927</v>
      </c>
      <c r="S374" s="2">
        <f t="shared" si="47"/>
        <v>34251</v>
      </c>
      <c r="T374" s="2" t="str">
        <f t="shared" si="42"/>
        <v>45407本地一区-早班</v>
      </c>
      <c r="U374" s="2">
        <f t="shared" si="43"/>
        <v>4.2437500000000001E-3</v>
      </c>
      <c r="V374" s="2" t="str">
        <f t="shared" si="44"/>
        <v>赵依然</v>
      </c>
    </row>
    <row r="375" spans="1:22" ht="16.5" x14ac:dyDescent="0.4">
      <c r="A375" s="4" t="s">
        <v>93</v>
      </c>
      <c r="B375" s="70" t="s">
        <v>105</v>
      </c>
      <c r="C375" s="4" t="s">
        <v>111</v>
      </c>
      <c r="D375" s="4">
        <v>157</v>
      </c>
      <c r="E375" s="4">
        <v>112</v>
      </c>
      <c r="F375" s="5">
        <v>26552</v>
      </c>
      <c r="G375" s="5">
        <v>93717</v>
      </c>
      <c r="H375" s="6">
        <v>-67165</v>
      </c>
      <c r="I375" s="4" t="s">
        <v>101</v>
      </c>
      <c r="J375" s="5">
        <v>6784966</v>
      </c>
      <c r="K375" s="5">
        <v>26552</v>
      </c>
      <c r="L375" s="5">
        <v>8613429</v>
      </c>
      <c r="M375" s="5">
        <v>27219</v>
      </c>
      <c r="N375" s="7" t="s">
        <v>415</v>
      </c>
      <c r="O375" s="7" t="s">
        <v>743</v>
      </c>
      <c r="P375" s="11">
        <v>45407</v>
      </c>
      <c r="Q375" s="2" t="str">
        <f t="shared" si="40"/>
        <v>45407早班本地二区</v>
      </c>
      <c r="R375" s="2">
        <f t="shared" si="47"/>
        <v>8613429</v>
      </c>
      <c r="S375" s="2">
        <f t="shared" si="47"/>
        <v>27219</v>
      </c>
      <c r="T375" s="2" t="str">
        <f t="shared" si="42"/>
        <v>45407本地二区-早班</v>
      </c>
      <c r="U375" s="2">
        <f t="shared" si="43"/>
        <v>3.1600700000000001E-3</v>
      </c>
      <c r="V375" s="2" t="str">
        <f t="shared" si="44"/>
        <v>陈楠</v>
      </c>
    </row>
    <row r="376" spans="1:22" ht="16.5" x14ac:dyDescent="0.4">
      <c r="A376" s="4" t="s">
        <v>92</v>
      </c>
      <c r="B376" s="70" t="s">
        <v>104</v>
      </c>
      <c r="C376" s="4" t="s">
        <v>158</v>
      </c>
      <c r="D376" s="4">
        <v>198</v>
      </c>
      <c r="E376" s="4">
        <v>115</v>
      </c>
      <c r="F376" s="5">
        <v>32988</v>
      </c>
      <c r="G376" s="5">
        <v>115970</v>
      </c>
      <c r="H376" s="6">
        <v>-82982</v>
      </c>
      <c r="I376" s="4" t="s">
        <v>101</v>
      </c>
      <c r="J376" s="5">
        <v>2690213</v>
      </c>
      <c r="K376" s="5">
        <v>32988</v>
      </c>
      <c r="L376" s="5">
        <v>5466670</v>
      </c>
      <c r="M376" s="5">
        <v>35553</v>
      </c>
      <c r="N376" s="7" t="s">
        <v>741</v>
      </c>
      <c r="O376" s="7" t="s">
        <v>744</v>
      </c>
      <c r="P376" s="11">
        <v>45407</v>
      </c>
      <c r="Q376" s="2" t="str">
        <f t="shared" si="40"/>
        <v>45407下午班本地一区</v>
      </c>
      <c r="R376" s="2">
        <f t="shared" si="47"/>
        <v>5466670</v>
      </c>
      <c r="S376" s="2">
        <f t="shared" si="47"/>
        <v>35553</v>
      </c>
      <c r="T376" s="2" t="str">
        <f t="shared" si="42"/>
        <v>45407本地一区-下午班</v>
      </c>
      <c r="U376" s="2">
        <f t="shared" si="43"/>
        <v>6.5035900000000001E-3</v>
      </c>
      <c r="V376" s="2" t="str">
        <f t="shared" si="44"/>
        <v>李晓晗</v>
      </c>
    </row>
    <row r="377" spans="1:22" ht="16.5" x14ac:dyDescent="0.4">
      <c r="A377" s="4" t="s">
        <v>92</v>
      </c>
      <c r="B377" s="70" t="s">
        <v>105</v>
      </c>
      <c r="C377" s="4" t="s">
        <v>110</v>
      </c>
      <c r="D377" s="4">
        <v>173</v>
      </c>
      <c r="E377" s="4">
        <v>146</v>
      </c>
      <c r="F377" s="5">
        <v>33563</v>
      </c>
      <c r="G377" s="5">
        <v>93717</v>
      </c>
      <c r="H377" s="6">
        <v>-60154</v>
      </c>
      <c r="I377" s="4" t="s">
        <v>101</v>
      </c>
      <c r="J377" s="5">
        <v>4075350</v>
      </c>
      <c r="K377" s="5">
        <v>33563</v>
      </c>
      <c r="L377" s="5">
        <v>8400241</v>
      </c>
      <c r="M377" s="5">
        <v>36913</v>
      </c>
      <c r="N377" s="7" t="s">
        <v>556</v>
      </c>
      <c r="O377" s="7" t="s">
        <v>745</v>
      </c>
      <c r="P377" s="11">
        <v>45407</v>
      </c>
      <c r="Q377" s="2" t="str">
        <f t="shared" si="40"/>
        <v>45407下午班本地二区</v>
      </c>
      <c r="R377" s="2">
        <f t="shared" si="47"/>
        <v>8400241</v>
      </c>
      <c r="S377" s="2">
        <f t="shared" si="47"/>
        <v>36913</v>
      </c>
      <c r="T377" s="2" t="str">
        <f t="shared" si="42"/>
        <v>45407本地二区-下午班</v>
      </c>
      <c r="U377" s="2">
        <f t="shared" si="43"/>
        <v>4.3942800000000004E-3</v>
      </c>
      <c r="V377" s="2" t="str">
        <f t="shared" si="44"/>
        <v>赵勇</v>
      </c>
    </row>
    <row r="378" spans="1:22" ht="16.5" x14ac:dyDescent="0.4">
      <c r="A378" s="4" t="s">
        <v>93</v>
      </c>
      <c r="B378" s="70" t="s">
        <v>104</v>
      </c>
      <c r="C378" s="4" t="s">
        <v>111</v>
      </c>
      <c r="D378" s="4">
        <v>153</v>
      </c>
      <c r="E378" s="4">
        <v>113</v>
      </c>
      <c r="F378" s="5">
        <v>31258</v>
      </c>
      <c r="G378" s="5">
        <v>115970</v>
      </c>
      <c r="H378" s="6">
        <v>-84712</v>
      </c>
      <c r="I378" s="4" t="s">
        <v>101</v>
      </c>
      <c r="J378" s="5">
        <v>4355602</v>
      </c>
      <c r="K378" s="5">
        <v>31258</v>
      </c>
      <c r="L378" s="5">
        <v>8342537</v>
      </c>
      <c r="M378" s="5">
        <v>33583</v>
      </c>
      <c r="N378" s="7" t="s">
        <v>448</v>
      </c>
      <c r="O378" s="7" t="s">
        <v>746</v>
      </c>
      <c r="P378" s="11">
        <v>45408</v>
      </c>
      <c r="Q378" s="2" t="str">
        <f t="shared" si="40"/>
        <v>45408早班本地一区</v>
      </c>
      <c r="R378" s="2">
        <f t="shared" si="47"/>
        <v>8342537</v>
      </c>
      <c r="S378" s="2">
        <f t="shared" si="47"/>
        <v>33583</v>
      </c>
      <c r="T378" s="2" t="str">
        <f t="shared" si="42"/>
        <v>45408本地一区-早班</v>
      </c>
      <c r="U378" s="2">
        <f t="shared" si="43"/>
        <v>4.0255100000000004E-3</v>
      </c>
      <c r="V378" s="2" t="str">
        <f t="shared" si="44"/>
        <v>陈楠</v>
      </c>
    </row>
    <row r="379" spans="1:22" ht="16.5" x14ac:dyDescent="0.4">
      <c r="A379" s="4" t="s">
        <v>93</v>
      </c>
      <c r="B379" s="70" t="s">
        <v>105</v>
      </c>
      <c r="C379" s="4" t="s">
        <v>122</v>
      </c>
      <c r="D379" s="4">
        <v>163</v>
      </c>
      <c r="E379" s="4">
        <v>103</v>
      </c>
      <c r="F379" s="5">
        <v>20677</v>
      </c>
      <c r="G379" s="5">
        <v>93717</v>
      </c>
      <c r="H379" s="6">
        <v>-73040</v>
      </c>
      <c r="I379" s="4" t="s">
        <v>101</v>
      </c>
      <c r="J379" s="5">
        <v>4894420</v>
      </c>
      <c r="K379" s="5">
        <v>20677</v>
      </c>
      <c r="L379" s="5">
        <v>7011974</v>
      </c>
      <c r="M379" s="5">
        <v>21592</v>
      </c>
      <c r="N379" s="7" t="s">
        <v>414</v>
      </c>
      <c r="O379" s="7" t="s">
        <v>747</v>
      </c>
      <c r="P379" s="11">
        <v>45408</v>
      </c>
      <c r="Q379" s="2" t="str">
        <f t="shared" si="40"/>
        <v>45408早班本地二区</v>
      </c>
      <c r="R379" s="2">
        <f t="shared" si="47"/>
        <v>7011974</v>
      </c>
      <c r="S379" s="2">
        <f t="shared" si="47"/>
        <v>21592</v>
      </c>
      <c r="T379" s="2" t="str">
        <f t="shared" si="42"/>
        <v>45408本地二区-早班</v>
      </c>
      <c r="U379" s="2">
        <f t="shared" si="43"/>
        <v>3.0793000000000001E-3</v>
      </c>
      <c r="V379" s="2" t="str">
        <f t="shared" si="44"/>
        <v>赵依然</v>
      </c>
    </row>
    <row r="380" spans="1:22" ht="16.5" x14ac:dyDescent="0.4">
      <c r="A380" s="4" t="s">
        <v>92</v>
      </c>
      <c r="B380" s="70" t="s">
        <v>104</v>
      </c>
      <c r="C380" s="4" t="s">
        <v>110</v>
      </c>
      <c r="D380" s="4">
        <v>174</v>
      </c>
      <c r="E380" s="4">
        <v>132</v>
      </c>
      <c r="F380" s="5">
        <v>49791</v>
      </c>
      <c r="G380" s="5">
        <v>115970</v>
      </c>
      <c r="H380" s="6">
        <v>-66179</v>
      </c>
      <c r="I380" s="4" t="s">
        <v>101</v>
      </c>
      <c r="J380" s="5">
        <v>7073148</v>
      </c>
      <c r="K380" s="5">
        <v>49791</v>
      </c>
      <c r="L380" s="5">
        <v>11807842</v>
      </c>
      <c r="M380" s="5">
        <v>53348</v>
      </c>
      <c r="N380" s="7" t="s">
        <v>172</v>
      </c>
      <c r="O380" s="7" t="s">
        <v>748</v>
      </c>
      <c r="P380" s="11">
        <v>45408</v>
      </c>
      <c r="Q380" s="2" t="str">
        <f t="shared" si="40"/>
        <v>45408下午班本地一区</v>
      </c>
      <c r="R380" s="2">
        <f t="shared" si="47"/>
        <v>11807842</v>
      </c>
      <c r="S380" s="2">
        <f t="shared" si="47"/>
        <v>53348</v>
      </c>
      <c r="T380" s="2" t="str">
        <f t="shared" si="42"/>
        <v>45408本地一区-下午班</v>
      </c>
      <c r="U380" s="2">
        <f t="shared" si="43"/>
        <v>4.5180100000000003E-3</v>
      </c>
      <c r="V380" s="2" t="str">
        <f t="shared" si="44"/>
        <v>赵勇</v>
      </c>
    </row>
    <row r="381" spans="1:22" ht="16.5" x14ac:dyDescent="0.4">
      <c r="A381" s="4" t="s">
        <v>92</v>
      </c>
      <c r="B381" s="70" t="s">
        <v>105</v>
      </c>
      <c r="C381" s="4" t="s">
        <v>158</v>
      </c>
      <c r="D381" s="4">
        <v>206</v>
      </c>
      <c r="E381" s="4">
        <v>129</v>
      </c>
      <c r="F381" s="5">
        <v>27065</v>
      </c>
      <c r="G381" s="5">
        <v>93717</v>
      </c>
      <c r="H381" s="6">
        <v>-66652</v>
      </c>
      <c r="I381" s="4" t="s">
        <v>101</v>
      </c>
      <c r="J381" s="5">
        <v>2447063</v>
      </c>
      <c r="K381" s="5">
        <v>27065</v>
      </c>
      <c r="L381" s="5">
        <v>4468583</v>
      </c>
      <c r="M381" s="5">
        <v>28730</v>
      </c>
      <c r="N381" s="7" t="s">
        <v>307</v>
      </c>
      <c r="O381" s="7" t="s">
        <v>749</v>
      </c>
      <c r="P381" s="11">
        <v>45408</v>
      </c>
      <c r="Q381" s="2" t="str">
        <f t="shared" si="40"/>
        <v>45408下午班本地二区</v>
      </c>
      <c r="R381" s="2">
        <f t="shared" si="47"/>
        <v>4468583</v>
      </c>
      <c r="S381" s="2">
        <f t="shared" si="47"/>
        <v>28730</v>
      </c>
      <c r="T381" s="2" t="str">
        <f t="shared" si="42"/>
        <v>45408本地二区-下午班</v>
      </c>
      <c r="U381" s="2">
        <f t="shared" si="43"/>
        <v>6.4293299999999996E-3</v>
      </c>
      <c r="V381" s="2" t="str">
        <f t="shared" si="44"/>
        <v>李晓晗</v>
      </c>
    </row>
    <row r="382" spans="1:22" ht="16.5" x14ac:dyDescent="0.4">
      <c r="A382" s="4" t="s">
        <v>93</v>
      </c>
      <c r="B382" s="70" t="s">
        <v>178</v>
      </c>
      <c r="C382" s="4" t="s">
        <v>133</v>
      </c>
      <c r="D382" s="4">
        <v>310</v>
      </c>
      <c r="E382" s="4">
        <v>217</v>
      </c>
      <c r="F382" s="5">
        <v>44387</v>
      </c>
      <c r="G382" s="5">
        <v>209686</v>
      </c>
      <c r="H382" s="6">
        <v>-165299</v>
      </c>
      <c r="I382" s="4" t="s">
        <v>101</v>
      </c>
      <c r="J382" s="5">
        <v>7869656</v>
      </c>
      <c r="K382" s="5">
        <v>44387</v>
      </c>
      <c r="L382" s="5">
        <v>12507800</v>
      </c>
      <c r="M382" s="5">
        <v>46329</v>
      </c>
      <c r="N382" s="7" t="s">
        <v>400</v>
      </c>
      <c r="O382" s="7" t="s">
        <v>750</v>
      </c>
      <c r="P382" s="11">
        <v>45409</v>
      </c>
      <c r="Q382" s="2" t="str">
        <f t="shared" si="40"/>
        <v>45409早班本地所有</v>
      </c>
      <c r="R382" s="2">
        <f t="shared" si="47"/>
        <v>12507800</v>
      </c>
      <c r="S382" s="2">
        <f t="shared" si="47"/>
        <v>46329</v>
      </c>
      <c r="T382" s="2" t="str">
        <f t="shared" si="42"/>
        <v>45409本地所有-早班</v>
      </c>
      <c r="U382" s="2">
        <f t="shared" si="43"/>
        <v>3.7040100000000002E-3</v>
      </c>
      <c r="V382" s="2" t="str">
        <f t="shared" si="44"/>
        <v>林好男</v>
      </c>
    </row>
    <row r="383" spans="1:22" ht="16.5" x14ac:dyDescent="0.4">
      <c r="A383" s="4" t="s">
        <v>92</v>
      </c>
      <c r="B383" s="70" t="s">
        <v>104</v>
      </c>
      <c r="C383" s="4" t="s">
        <v>122</v>
      </c>
      <c r="D383" s="4">
        <v>200</v>
      </c>
      <c r="E383" s="4">
        <v>126</v>
      </c>
      <c r="F383" s="5">
        <v>46238</v>
      </c>
      <c r="G383" s="5">
        <v>115970</v>
      </c>
      <c r="H383" s="6">
        <v>-69732</v>
      </c>
      <c r="I383" s="4" t="s">
        <v>101</v>
      </c>
      <c r="J383" s="5">
        <v>7831097</v>
      </c>
      <c r="K383" s="5">
        <v>46238</v>
      </c>
      <c r="L383" s="5">
        <v>13095405</v>
      </c>
      <c r="M383" s="5">
        <v>53799</v>
      </c>
      <c r="N383" s="7" t="s">
        <v>165</v>
      </c>
      <c r="O383" s="7" t="s">
        <v>751</v>
      </c>
      <c r="P383" s="11">
        <v>45409</v>
      </c>
      <c r="Q383" s="2" t="str">
        <f t="shared" si="40"/>
        <v>45409下午班本地一区</v>
      </c>
      <c r="R383" s="2">
        <f t="shared" si="47"/>
        <v>13095405</v>
      </c>
      <c r="S383" s="2">
        <f t="shared" si="47"/>
        <v>53799</v>
      </c>
      <c r="T383" s="2" t="str">
        <f t="shared" si="42"/>
        <v>45409本地一区-下午班</v>
      </c>
      <c r="U383" s="2">
        <f t="shared" si="43"/>
        <v>4.10823E-3</v>
      </c>
      <c r="V383" s="2" t="str">
        <f t="shared" si="44"/>
        <v>赵依然</v>
      </c>
    </row>
    <row r="384" spans="1:22" ht="16.5" x14ac:dyDescent="0.4">
      <c r="A384" s="4" t="s">
        <v>92</v>
      </c>
      <c r="B384" s="70" t="s">
        <v>105</v>
      </c>
      <c r="C384" s="4" t="s">
        <v>158</v>
      </c>
      <c r="D384" s="4">
        <v>205</v>
      </c>
      <c r="E384" s="4">
        <v>113</v>
      </c>
      <c r="F384" s="5">
        <v>30324</v>
      </c>
      <c r="G384" s="5">
        <v>93717</v>
      </c>
      <c r="H384" s="6">
        <v>-63393</v>
      </c>
      <c r="I384" s="4" t="s">
        <v>101</v>
      </c>
      <c r="J384" s="5">
        <v>2275308</v>
      </c>
      <c r="K384" s="5">
        <v>30324</v>
      </c>
      <c r="L384" s="5">
        <v>4537212</v>
      </c>
      <c r="M384" s="5">
        <v>32925</v>
      </c>
      <c r="N384" s="7" t="s">
        <v>405</v>
      </c>
      <c r="O384" s="7" t="s">
        <v>752</v>
      </c>
      <c r="P384" s="11">
        <v>45409</v>
      </c>
      <c r="Q384" s="2" t="str">
        <f t="shared" si="40"/>
        <v>45409下午班本地二区</v>
      </c>
      <c r="R384" s="2">
        <f t="shared" si="47"/>
        <v>4537212</v>
      </c>
      <c r="S384" s="2">
        <f t="shared" si="47"/>
        <v>32925</v>
      </c>
      <c r="T384" s="2" t="str">
        <f t="shared" si="42"/>
        <v>45409本地二区-下午班</v>
      </c>
      <c r="U384" s="2">
        <f t="shared" si="43"/>
        <v>7.2566599999999998E-3</v>
      </c>
      <c r="V384" s="2" t="str">
        <f t="shared" si="44"/>
        <v>李晓晗</v>
      </c>
    </row>
    <row r="385" spans="1:16" ht="16.5" x14ac:dyDescent="0.4">
      <c r="A385" s="4" t="s">
        <v>93</v>
      </c>
      <c r="B385" s="70" t="s">
        <v>104</v>
      </c>
      <c r="C385" s="4" t="s">
        <v>110</v>
      </c>
      <c r="D385" s="4">
        <v>188</v>
      </c>
      <c r="E385" s="4">
        <v>119</v>
      </c>
      <c r="F385" s="5">
        <v>37566</v>
      </c>
      <c r="G385" s="5">
        <v>115970</v>
      </c>
      <c r="H385" s="6">
        <v>-78404</v>
      </c>
      <c r="I385" s="4" t="s">
        <v>101</v>
      </c>
      <c r="J385" s="5">
        <v>3698375</v>
      </c>
      <c r="K385" s="5">
        <v>37566</v>
      </c>
      <c r="L385" s="5">
        <v>9937859</v>
      </c>
      <c r="M385" s="5">
        <v>40797</v>
      </c>
      <c r="N385" s="7" t="s">
        <v>113</v>
      </c>
      <c r="O385" s="7" t="s">
        <v>773</v>
      </c>
      <c r="P385" s="11">
        <v>45410</v>
      </c>
    </row>
    <row r="386" spans="1:16" ht="16.5" x14ac:dyDescent="0.4">
      <c r="A386" s="4" t="s">
        <v>93</v>
      </c>
      <c r="B386" s="70" t="s">
        <v>105</v>
      </c>
      <c r="C386" s="4" t="s">
        <v>133</v>
      </c>
      <c r="D386" s="4">
        <v>242</v>
      </c>
      <c r="E386" s="4">
        <v>145</v>
      </c>
      <c r="F386" s="5">
        <v>29872</v>
      </c>
      <c r="G386" s="5">
        <v>93717</v>
      </c>
      <c r="H386" s="6">
        <v>-63845</v>
      </c>
      <c r="I386" s="4" t="s">
        <v>101</v>
      </c>
      <c r="J386" s="5">
        <v>4830246</v>
      </c>
      <c r="K386" s="5">
        <v>29872</v>
      </c>
      <c r="L386" s="5">
        <v>8449043</v>
      </c>
      <c r="M386" s="5">
        <v>31357</v>
      </c>
      <c r="N386" s="7" t="s">
        <v>411</v>
      </c>
      <c r="O386" s="7" t="s">
        <v>774</v>
      </c>
      <c r="P386" s="11">
        <v>45410</v>
      </c>
    </row>
    <row r="387" spans="1:16" ht="16.5" x14ac:dyDescent="0.4">
      <c r="A387" s="4" t="s">
        <v>92</v>
      </c>
      <c r="B387" s="70" t="s">
        <v>104</v>
      </c>
      <c r="C387" s="4" t="s">
        <v>158</v>
      </c>
      <c r="D387" s="4">
        <v>197</v>
      </c>
      <c r="E387" s="4">
        <v>114</v>
      </c>
      <c r="F387" s="5">
        <v>42811</v>
      </c>
      <c r="G387" s="5">
        <v>115970</v>
      </c>
      <c r="H387" s="6">
        <v>-73159</v>
      </c>
      <c r="I387" s="4" t="s">
        <v>101</v>
      </c>
      <c r="J387" s="5">
        <v>2908452</v>
      </c>
      <c r="K387" s="5">
        <v>42811</v>
      </c>
      <c r="L387" s="5">
        <v>5690049</v>
      </c>
      <c r="M387" s="5">
        <v>46482</v>
      </c>
      <c r="N387" s="7" t="s">
        <v>119</v>
      </c>
      <c r="O387" s="7" t="s">
        <v>775</v>
      </c>
      <c r="P387" s="11">
        <v>45410</v>
      </c>
    </row>
    <row r="388" spans="1:16" ht="16.5" x14ac:dyDescent="0.4">
      <c r="A388" s="4" t="s">
        <v>92</v>
      </c>
      <c r="B388" s="70" t="s">
        <v>105</v>
      </c>
      <c r="C388" s="4" t="s">
        <v>111</v>
      </c>
      <c r="D388" s="4">
        <v>150</v>
      </c>
      <c r="E388" s="4">
        <v>109</v>
      </c>
      <c r="F388" s="5">
        <v>24882</v>
      </c>
      <c r="G388" s="5">
        <v>93717</v>
      </c>
      <c r="H388" s="6">
        <v>-68835</v>
      </c>
      <c r="I388" s="4" t="s">
        <v>101</v>
      </c>
      <c r="J388" s="5">
        <v>2260599</v>
      </c>
      <c r="K388" s="5">
        <v>24882</v>
      </c>
      <c r="L388" s="5">
        <v>3979411</v>
      </c>
      <c r="M388" s="5">
        <v>26244</v>
      </c>
      <c r="N388" s="7" t="s">
        <v>157</v>
      </c>
      <c r="O388" s="7" t="s">
        <v>776</v>
      </c>
      <c r="P388" s="11">
        <v>45410</v>
      </c>
    </row>
    <row r="389" spans="1:16" ht="16.5" x14ac:dyDescent="0.4">
      <c r="A389" s="4" t="s">
        <v>93</v>
      </c>
      <c r="B389" s="70" t="s">
        <v>104</v>
      </c>
      <c r="C389" s="4" t="s">
        <v>110</v>
      </c>
      <c r="D389" s="4">
        <v>173</v>
      </c>
      <c r="E389" s="4">
        <v>126</v>
      </c>
      <c r="F389" s="5">
        <v>41918</v>
      </c>
      <c r="G389" s="5">
        <v>115970</v>
      </c>
      <c r="H389" s="6">
        <v>-74052</v>
      </c>
      <c r="I389" s="4" t="s">
        <v>101</v>
      </c>
      <c r="J389" s="5">
        <v>4142523</v>
      </c>
      <c r="K389" s="5">
        <v>41918</v>
      </c>
      <c r="L389" s="5">
        <v>11011491</v>
      </c>
      <c r="M389" s="5">
        <v>46789</v>
      </c>
      <c r="N389" s="7" t="s">
        <v>665</v>
      </c>
      <c r="O389" s="7" t="s">
        <v>777</v>
      </c>
      <c r="P389" s="11">
        <v>45411</v>
      </c>
    </row>
    <row r="390" spans="1:16" ht="16.5" x14ac:dyDescent="0.4">
      <c r="A390" s="4" t="s">
        <v>93</v>
      </c>
      <c r="B390" s="70" t="s">
        <v>105</v>
      </c>
      <c r="C390" s="4" t="s">
        <v>122</v>
      </c>
      <c r="D390" s="4">
        <v>164</v>
      </c>
      <c r="E390" s="4">
        <v>100</v>
      </c>
      <c r="F390" s="5">
        <v>22192</v>
      </c>
      <c r="G390" s="5">
        <v>93717</v>
      </c>
      <c r="H390" s="6">
        <v>-71525</v>
      </c>
      <c r="I390" s="4" t="s">
        <v>101</v>
      </c>
      <c r="J390" s="5">
        <v>3987026</v>
      </c>
      <c r="K390" s="5">
        <v>22192</v>
      </c>
      <c r="L390" s="5">
        <v>6198032</v>
      </c>
      <c r="M390" s="5">
        <v>23059</v>
      </c>
      <c r="N390" s="7" t="s">
        <v>400</v>
      </c>
      <c r="O390" s="7" t="s">
        <v>778</v>
      </c>
      <c r="P390" s="11">
        <v>45411</v>
      </c>
    </row>
    <row r="391" spans="1:16" ht="16.5" x14ac:dyDescent="0.4">
      <c r="A391" s="4" t="s">
        <v>92</v>
      </c>
      <c r="B391" s="70" t="s">
        <v>104</v>
      </c>
      <c r="C391" s="4" t="s">
        <v>111</v>
      </c>
      <c r="D391" s="4">
        <v>156</v>
      </c>
      <c r="E391" s="4">
        <v>120</v>
      </c>
      <c r="F391" s="5">
        <v>46717</v>
      </c>
      <c r="G391" s="5">
        <v>115970</v>
      </c>
      <c r="H391" s="6">
        <v>-69253</v>
      </c>
      <c r="I391" s="4" t="s">
        <v>101</v>
      </c>
      <c r="J391" s="5">
        <v>6556478</v>
      </c>
      <c r="K391" s="5">
        <v>46717</v>
      </c>
      <c r="L391" s="5">
        <v>9387494</v>
      </c>
      <c r="M391" s="5">
        <v>49595</v>
      </c>
      <c r="N391" s="7" t="s">
        <v>161</v>
      </c>
      <c r="O391" s="7" t="s">
        <v>779</v>
      </c>
      <c r="P391" s="11">
        <v>45411</v>
      </c>
    </row>
    <row r="392" spans="1:16" ht="16.5" x14ac:dyDescent="0.4">
      <c r="A392" s="4" t="s">
        <v>92</v>
      </c>
      <c r="B392" s="70" t="s">
        <v>105</v>
      </c>
      <c r="C392" s="4" t="s">
        <v>133</v>
      </c>
      <c r="D392" s="4">
        <v>225</v>
      </c>
      <c r="E392" s="4">
        <v>139</v>
      </c>
      <c r="F392" s="5">
        <v>30871</v>
      </c>
      <c r="G392" s="5">
        <v>93717</v>
      </c>
      <c r="H392" s="6">
        <v>-62846</v>
      </c>
      <c r="I392" s="4" t="s">
        <v>101</v>
      </c>
      <c r="J392" s="5">
        <v>3464637</v>
      </c>
      <c r="K392" s="5">
        <v>30871</v>
      </c>
      <c r="L392" s="5">
        <v>5936276</v>
      </c>
      <c r="M392" s="5">
        <v>34342</v>
      </c>
      <c r="N392" s="7" t="s">
        <v>424</v>
      </c>
      <c r="O392" s="7" t="s">
        <v>780</v>
      </c>
      <c r="P392" s="11">
        <v>45411</v>
      </c>
    </row>
    <row r="393" spans="1:16" ht="16.5" x14ac:dyDescent="0.4">
      <c r="A393" s="4" t="s">
        <v>93</v>
      </c>
      <c r="B393" s="70" t="s">
        <v>104</v>
      </c>
      <c r="C393" s="4" t="s">
        <v>110</v>
      </c>
      <c r="D393" s="4">
        <v>218</v>
      </c>
      <c r="E393" s="4">
        <v>151</v>
      </c>
      <c r="F393" s="5">
        <v>40797</v>
      </c>
      <c r="G393" s="5">
        <v>115970</v>
      </c>
      <c r="H393" s="6">
        <v>-75173</v>
      </c>
      <c r="I393" s="4" t="s">
        <v>101</v>
      </c>
      <c r="J393" s="5">
        <v>4296649</v>
      </c>
      <c r="K393" s="5">
        <v>40797</v>
      </c>
      <c r="L393" s="5">
        <v>9485915</v>
      </c>
      <c r="M393" s="5">
        <v>45134</v>
      </c>
      <c r="N393" s="7" t="s">
        <v>298</v>
      </c>
      <c r="O393" s="7" t="s">
        <v>781</v>
      </c>
      <c r="P393" s="11">
        <v>45412</v>
      </c>
    </row>
    <row r="394" spans="1:16" ht="16.5" x14ac:dyDescent="0.4">
      <c r="A394" s="4" t="s">
        <v>93</v>
      </c>
      <c r="B394" s="70" t="s">
        <v>105</v>
      </c>
      <c r="C394" s="4" t="s">
        <v>122</v>
      </c>
      <c r="D394" s="4">
        <v>188</v>
      </c>
      <c r="E394" s="4">
        <v>109</v>
      </c>
      <c r="F394" s="5">
        <v>24869</v>
      </c>
      <c r="G394" s="5">
        <v>93717</v>
      </c>
      <c r="H394" s="6">
        <v>-68848</v>
      </c>
      <c r="I394" s="4" t="s">
        <v>101</v>
      </c>
      <c r="J394" s="5">
        <v>4129576</v>
      </c>
      <c r="K394" s="5">
        <v>24869</v>
      </c>
      <c r="L394" s="5">
        <v>9462969</v>
      </c>
      <c r="M394" s="5">
        <v>26367</v>
      </c>
      <c r="N394" s="7" t="s">
        <v>413</v>
      </c>
      <c r="O394" s="7" t="s">
        <v>782</v>
      </c>
      <c r="P394" s="11">
        <v>45412</v>
      </c>
    </row>
    <row r="395" spans="1:16" ht="16.5" x14ac:dyDescent="0.4">
      <c r="A395" s="4" t="s">
        <v>92</v>
      </c>
      <c r="B395" s="70" t="s">
        <v>104</v>
      </c>
      <c r="C395" s="4" t="s">
        <v>133</v>
      </c>
      <c r="D395" s="4">
        <v>219</v>
      </c>
      <c r="E395" s="4">
        <v>164</v>
      </c>
      <c r="F395" s="5">
        <v>44697</v>
      </c>
      <c r="G395" s="5">
        <v>115970</v>
      </c>
      <c r="H395" s="6">
        <v>-71273</v>
      </c>
      <c r="I395" s="4" t="s">
        <v>101</v>
      </c>
      <c r="J395" s="5">
        <v>4468911</v>
      </c>
      <c r="K395" s="5">
        <v>44697</v>
      </c>
      <c r="L395" s="5">
        <v>10436177</v>
      </c>
      <c r="M395" s="5">
        <v>50656</v>
      </c>
      <c r="N395" s="7" t="s">
        <v>123</v>
      </c>
      <c r="O395" s="7" t="s">
        <v>783</v>
      </c>
      <c r="P395" s="11">
        <v>45412</v>
      </c>
    </row>
    <row r="396" spans="1:16" ht="16.5" x14ac:dyDescent="0.4">
      <c r="A396" s="4" t="s">
        <v>92</v>
      </c>
      <c r="B396" s="70" t="s">
        <v>105</v>
      </c>
      <c r="C396" s="4" t="s">
        <v>158</v>
      </c>
      <c r="D396" s="4">
        <v>230</v>
      </c>
      <c r="E396" s="4">
        <v>113</v>
      </c>
      <c r="F396" s="5">
        <v>25559</v>
      </c>
      <c r="G396" s="5">
        <v>93717</v>
      </c>
      <c r="H396" s="6">
        <v>-68158</v>
      </c>
      <c r="I396" s="4" t="s">
        <v>101</v>
      </c>
      <c r="J396" s="5">
        <v>2184992</v>
      </c>
      <c r="K396" s="5">
        <v>25559</v>
      </c>
      <c r="L396" s="5">
        <v>4130293</v>
      </c>
      <c r="M396" s="5">
        <v>27946</v>
      </c>
      <c r="N396" s="7" t="s">
        <v>170</v>
      </c>
      <c r="O396" s="7" t="s">
        <v>784</v>
      </c>
      <c r="P396" s="11">
        <v>45412</v>
      </c>
    </row>
    <row r="397" spans="1:16" ht="16.5" x14ac:dyDescent="0.4">
      <c r="A397" s="4" t="s">
        <v>93</v>
      </c>
      <c r="B397" s="70" t="s">
        <v>178</v>
      </c>
      <c r="C397" s="4" t="s">
        <v>122</v>
      </c>
      <c r="D397" s="4">
        <v>170</v>
      </c>
      <c r="E397" s="4">
        <v>124</v>
      </c>
      <c r="F397" s="5">
        <v>36757</v>
      </c>
      <c r="G397" s="5">
        <v>209686</v>
      </c>
      <c r="H397" s="6">
        <v>-172929</v>
      </c>
      <c r="I397" s="4" t="s">
        <v>101</v>
      </c>
      <c r="J397" s="5">
        <v>7106021</v>
      </c>
      <c r="K397" s="5">
        <v>36757</v>
      </c>
      <c r="L397" s="5">
        <v>12660073</v>
      </c>
      <c r="M397" s="5">
        <v>39384</v>
      </c>
      <c r="N397" s="7" t="s">
        <v>461</v>
      </c>
      <c r="O397" s="7" t="s">
        <v>785</v>
      </c>
      <c r="P397" s="11">
        <v>45413</v>
      </c>
    </row>
    <row r="398" spans="1:16" ht="16.5" x14ac:dyDescent="0.4">
      <c r="A398" s="4" t="s">
        <v>92</v>
      </c>
      <c r="B398" s="70" t="s">
        <v>178</v>
      </c>
      <c r="C398" s="4" t="s">
        <v>133</v>
      </c>
      <c r="D398" s="4">
        <v>306</v>
      </c>
      <c r="E398" s="4">
        <v>197</v>
      </c>
      <c r="F398" s="5">
        <v>54565</v>
      </c>
      <c r="G398" s="5">
        <v>209686</v>
      </c>
      <c r="H398" s="6">
        <v>-155121</v>
      </c>
      <c r="I398" s="4" t="s">
        <v>101</v>
      </c>
      <c r="J398" s="5">
        <v>5933026</v>
      </c>
      <c r="K398" s="5">
        <v>54565</v>
      </c>
      <c r="L398" s="5">
        <v>12257723</v>
      </c>
      <c r="M398" s="5">
        <v>61040</v>
      </c>
      <c r="N398" s="7" t="s">
        <v>167</v>
      </c>
      <c r="O398" s="7" t="s">
        <v>786</v>
      </c>
      <c r="P398" s="11">
        <v>45413</v>
      </c>
    </row>
    <row r="399" spans="1:16" ht="16.5" x14ac:dyDescent="0.4">
      <c r="A399" s="4" t="s">
        <v>93</v>
      </c>
      <c r="B399" s="70" t="s">
        <v>104</v>
      </c>
      <c r="C399" s="4" t="s">
        <v>122</v>
      </c>
      <c r="D399" s="4">
        <v>159</v>
      </c>
      <c r="E399" s="4">
        <v>97</v>
      </c>
      <c r="F399" s="5">
        <v>29790</v>
      </c>
      <c r="G399" s="5">
        <v>115970</v>
      </c>
      <c r="H399" s="6">
        <v>-86180</v>
      </c>
      <c r="I399" s="4" t="s">
        <v>101</v>
      </c>
      <c r="J399" s="5">
        <v>4041345</v>
      </c>
      <c r="K399" s="5">
        <v>29790</v>
      </c>
      <c r="L399" s="5">
        <v>6968258</v>
      </c>
      <c r="M399" s="5">
        <v>32384</v>
      </c>
      <c r="N399" s="7" t="s">
        <v>438</v>
      </c>
      <c r="O399" s="7" t="s">
        <v>787</v>
      </c>
      <c r="P399" s="11">
        <v>45414</v>
      </c>
    </row>
    <row r="400" spans="1:16" ht="16.5" x14ac:dyDescent="0.4">
      <c r="A400" s="4" t="s">
        <v>93</v>
      </c>
      <c r="B400" s="70" t="s">
        <v>105</v>
      </c>
      <c r="C400" s="4" t="s">
        <v>111</v>
      </c>
      <c r="D400" s="4">
        <v>165</v>
      </c>
      <c r="E400" s="4">
        <v>103</v>
      </c>
      <c r="F400" s="5">
        <v>17162</v>
      </c>
      <c r="G400" s="5">
        <v>93717</v>
      </c>
      <c r="H400" s="6">
        <v>-76555</v>
      </c>
      <c r="I400" s="4" t="s">
        <v>101</v>
      </c>
      <c r="J400" s="5">
        <v>4006643</v>
      </c>
      <c r="K400" s="5">
        <v>17162</v>
      </c>
      <c r="L400" s="5">
        <v>5691789</v>
      </c>
      <c r="M400" s="5">
        <v>17559</v>
      </c>
      <c r="N400" s="7" t="s">
        <v>450</v>
      </c>
      <c r="O400" s="7" t="s">
        <v>788</v>
      </c>
      <c r="P400" s="11">
        <v>45414</v>
      </c>
    </row>
    <row r="401" spans="1:16" ht="16.5" x14ac:dyDescent="0.4">
      <c r="A401" s="4" t="s">
        <v>92</v>
      </c>
      <c r="B401" s="70" t="s">
        <v>104</v>
      </c>
      <c r="C401" s="4" t="s">
        <v>133</v>
      </c>
      <c r="D401" s="4">
        <v>242</v>
      </c>
      <c r="E401" s="4">
        <v>149</v>
      </c>
      <c r="F401" s="5">
        <v>44053</v>
      </c>
      <c r="G401" s="5">
        <v>115970</v>
      </c>
      <c r="H401" s="6">
        <v>-71917</v>
      </c>
      <c r="I401" s="4" t="s">
        <v>101</v>
      </c>
      <c r="J401" s="5">
        <v>5722902</v>
      </c>
      <c r="K401" s="5">
        <v>44053</v>
      </c>
      <c r="L401" s="5">
        <v>10676180</v>
      </c>
      <c r="M401" s="5">
        <v>49627</v>
      </c>
      <c r="N401" s="7" t="s">
        <v>169</v>
      </c>
      <c r="O401" s="7" t="s">
        <v>789</v>
      </c>
      <c r="P401" s="11">
        <v>45414</v>
      </c>
    </row>
    <row r="402" spans="1:16" ht="16.5" x14ac:dyDescent="0.4">
      <c r="A402" s="4" t="s">
        <v>92</v>
      </c>
      <c r="B402" s="70" t="s">
        <v>105</v>
      </c>
      <c r="C402" s="4" t="s">
        <v>158</v>
      </c>
      <c r="D402" s="4">
        <v>199</v>
      </c>
      <c r="E402" s="4">
        <v>103</v>
      </c>
      <c r="F402" s="5">
        <v>24906</v>
      </c>
      <c r="G402" s="5">
        <v>93717</v>
      </c>
      <c r="H402" s="6">
        <v>-68811</v>
      </c>
      <c r="I402" s="4" t="s">
        <v>101</v>
      </c>
      <c r="J402" s="5">
        <v>2235805</v>
      </c>
      <c r="K402" s="5">
        <v>24906</v>
      </c>
      <c r="L402" s="5">
        <v>3932624</v>
      </c>
      <c r="M402" s="5">
        <v>27019</v>
      </c>
      <c r="N402" s="7" t="s">
        <v>307</v>
      </c>
      <c r="O402" s="7" t="s">
        <v>790</v>
      </c>
      <c r="P402" s="11">
        <v>45414</v>
      </c>
    </row>
    <row r="403" spans="1:16" ht="16.5" x14ac:dyDescent="0.4">
      <c r="A403" s="4" t="s">
        <v>93</v>
      </c>
      <c r="B403" s="70" t="s">
        <v>104</v>
      </c>
      <c r="C403" s="4" t="s">
        <v>111</v>
      </c>
      <c r="D403" s="4">
        <v>158</v>
      </c>
      <c r="E403" s="4">
        <v>115</v>
      </c>
      <c r="F403" s="5">
        <v>29836</v>
      </c>
      <c r="G403" s="5">
        <v>115970</v>
      </c>
      <c r="H403" s="6">
        <v>-86134</v>
      </c>
      <c r="I403" s="4" t="s">
        <v>101</v>
      </c>
      <c r="J403" s="5">
        <v>4247350</v>
      </c>
      <c r="K403" s="5">
        <v>29836</v>
      </c>
      <c r="L403" s="5">
        <v>9550659</v>
      </c>
      <c r="M403" s="5">
        <v>31609</v>
      </c>
      <c r="N403" s="7" t="s">
        <v>172</v>
      </c>
      <c r="O403" s="7" t="s">
        <v>791</v>
      </c>
      <c r="P403" s="11">
        <v>45415</v>
      </c>
    </row>
    <row r="404" spans="1:16" ht="16.5" x14ac:dyDescent="0.4">
      <c r="A404" s="4" t="s">
        <v>93</v>
      </c>
      <c r="B404" s="70" t="s">
        <v>105</v>
      </c>
      <c r="C404" s="4" t="s">
        <v>122</v>
      </c>
      <c r="D404" s="4">
        <v>173</v>
      </c>
      <c r="E404" s="4">
        <v>101</v>
      </c>
      <c r="F404" s="5">
        <v>20883</v>
      </c>
      <c r="G404" s="5">
        <v>93717</v>
      </c>
      <c r="H404" s="6">
        <v>-72834</v>
      </c>
      <c r="I404" s="4" t="s">
        <v>101</v>
      </c>
      <c r="J404" s="5">
        <v>3959712</v>
      </c>
      <c r="K404" s="5">
        <v>20883</v>
      </c>
      <c r="L404" s="5">
        <v>8347714</v>
      </c>
      <c r="M404" s="5">
        <v>22065</v>
      </c>
      <c r="N404" s="7" t="s">
        <v>283</v>
      </c>
      <c r="O404" s="7" t="s">
        <v>792</v>
      </c>
      <c r="P404" s="11">
        <v>45415</v>
      </c>
    </row>
    <row r="405" spans="1:16" ht="16.5" x14ac:dyDescent="0.4">
      <c r="A405" s="4" t="s">
        <v>92</v>
      </c>
      <c r="B405" s="70" t="s">
        <v>178</v>
      </c>
      <c r="C405" s="4" t="s">
        <v>158</v>
      </c>
      <c r="D405" s="4">
        <v>231</v>
      </c>
      <c r="E405" s="4">
        <v>120</v>
      </c>
      <c r="F405" s="5">
        <v>51892</v>
      </c>
      <c r="G405" s="5">
        <v>209686</v>
      </c>
      <c r="H405" s="6">
        <v>-157794</v>
      </c>
      <c r="I405" s="4" t="s">
        <v>101</v>
      </c>
      <c r="J405" s="5">
        <v>4863902</v>
      </c>
      <c r="K405" s="5">
        <v>51892</v>
      </c>
      <c r="L405" s="5">
        <v>7575244</v>
      </c>
      <c r="M405" s="5">
        <v>55132</v>
      </c>
      <c r="N405" s="7" t="s">
        <v>276</v>
      </c>
      <c r="O405" s="7" t="s">
        <v>793</v>
      </c>
      <c r="P405" s="11">
        <v>45415</v>
      </c>
    </row>
    <row r="406" spans="1:16" ht="16.5" x14ac:dyDescent="0.4">
      <c r="A406" s="4" t="s">
        <v>93</v>
      </c>
      <c r="B406" s="70" t="s">
        <v>178</v>
      </c>
      <c r="C406" s="4" t="s">
        <v>111</v>
      </c>
      <c r="D406" s="4">
        <v>167</v>
      </c>
      <c r="E406" s="4">
        <v>106</v>
      </c>
      <c r="F406" s="5">
        <v>42197</v>
      </c>
      <c r="G406" s="5">
        <v>209686</v>
      </c>
      <c r="H406" s="6">
        <v>-167489</v>
      </c>
      <c r="I406" s="4" t="s">
        <v>101</v>
      </c>
      <c r="J406" s="5">
        <v>7315191</v>
      </c>
      <c r="K406" s="5">
        <v>42197</v>
      </c>
      <c r="L406" s="5">
        <v>15583210</v>
      </c>
      <c r="M406" s="5">
        <v>43793</v>
      </c>
      <c r="N406" s="7" t="s">
        <v>198</v>
      </c>
      <c r="O406" s="7" t="s">
        <v>794</v>
      </c>
      <c r="P406" s="11">
        <v>45416</v>
      </c>
    </row>
    <row r="407" spans="1:16" ht="16.5" x14ac:dyDescent="0.4">
      <c r="A407" s="4" t="s">
        <v>92</v>
      </c>
      <c r="B407" s="70" t="s">
        <v>178</v>
      </c>
      <c r="C407" s="4" t="s">
        <v>158</v>
      </c>
      <c r="D407" s="4">
        <v>244</v>
      </c>
      <c r="E407" s="4">
        <v>129</v>
      </c>
      <c r="F407" s="5">
        <v>46379</v>
      </c>
      <c r="G407" s="5">
        <v>209686</v>
      </c>
      <c r="H407" s="6">
        <v>-163307</v>
      </c>
      <c r="I407" s="4" t="s">
        <v>101</v>
      </c>
      <c r="J407" s="5">
        <v>4273739</v>
      </c>
      <c r="K407" s="5">
        <v>46379</v>
      </c>
      <c r="L407" s="5">
        <v>7917996</v>
      </c>
      <c r="M407" s="5">
        <v>50932</v>
      </c>
      <c r="N407" s="7" t="s">
        <v>366</v>
      </c>
      <c r="O407" s="7" t="s">
        <v>795</v>
      </c>
      <c r="P407" s="11">
        <v>45416</v>
      </c>
    </row>
    <row r="408" spans="1:16" ht="16.5" x14ac:dyDescent="0.4">
      <c r="A408" s="4" t="s">
        <v>93</v>
      </c>
      <c r="B408" s="70" t="s">
        <v>178</v>
      </c>
      <c r="C408" s="4" t="s">
        <v>110</v>
      </c>
      <c r="D408" s="4">
        <v>263</v>
      </c>
      <c r="E408" s="4">
        <v>156</v>
      </c>
      <c r="F408" s="5">
        <v>44695</v>
      </c>
      <c r="G408" s="5">
        <v>209686</v>
      </c>
      <c r="H408" s="6">
        <v>-164991</v>
      </c>
      <c r="I408" s="4" t="s">
        <v>101</v>
      </c>
      <c r="J408" s="5">
        <v>6385100</v>
      </c>
      <c r="K408" s="5">
        <v>44695</v>
      </c>
      <c r="L408" s="5">
        <v>11945959</v>
      </c>
      <c r="M408" s="5">
        <v>47364</v>
      </c>
      <c r="N408" s="7" t="s">
        <v>172</v>
      </c>
      <c r="O408" s="7" t="s">
        <v>796</v>
      </c>
      <c r="P408" s="11">
        <v>45417</v>
      </c>
    </row>
    <row r="409" spans="1:16" ht="16.5" x14ac:dyDescent="0.4">
      <c r="A409" s="4" t="s">
        <v>92</v>
      </c>
      <c r="B409" s="70" t="s">
        <v>178</v>
      </c>
      <c r="C409" s="4" t="s">
        <v>133</v>
      </c>
      <c r="D409" s="4">
        <v>304</v>
      </c>
      <c r="E409" s="4">
        <v>154</v>
      </c>
      <c r="F409" s="5">
        <v>53481</v>
      </c>
      <c r="G409" s="5">
        <v>209686</v>
      </c>
      <c r="H409" s="6">
        <v>-156205</v>
      </c>
      <c r="I409" s="4" t="s">
        <v>101</v>
      </c>
      <c r="J409" s="5">
        <v>5468894</v>
      </c>
      <c r="K409" s="5">
        <v>53481</v>
      </c>
      <c r="L409" s="5">
        <v>10782274</v>
      </c>
      <c r="M409" s="5">
        <v>61898</v>
      </c>
      <c r="N409" s="7" t="s">
        <v>797</v>
      </c>
      <c r="O409" s="7" t="s">
        <v>798</v>
      </c>
      <c r="P409" s="11">
        <v>45417</v>
      </c>
    </row>
    <row r="410" spans="1:16" ht="16.5" x14ac:dyDescent="0.4">
      <c r="A410" s="4" t="s">
        <v>93</v>
      </c>
      <c r="B410" s="70" t="s">
        <v>104</v>
      </c>
      <c r="C410" s="4" t="s">
        <v>122</v>
      </c>
      <c r="D410" s="4">
        <v>173</v>
      </c>
      <c r="E410" s="4">
        <v>100</v>
      </c>
      <c r="F410" s="5">
        <v>28294</v>
      </c>
      <c r="G410" s="5">
        <v>115970</v>
      </c>
      <c r="H410" s="6">
        <v>-87676</v>
      </c>
      <c r="I410" s="4" t="s">
        <v>101</v>
      </c>
      <c r="J410" s="5">
        <v>3577748</v>
      </c>
      <c r="K410" s="5">
        <v>28294</v>
      </c>
      <c r="L410" s="5">
        <v>6593792</v>
      </c>
      <c r="M410" s="5">
        <v>29940</v>
      </c>
      <c r="N410" s="7" t="s">
        <v>317</v>
      </c>
      <c r="O410" s="7" t="s">
        <v>799</v>
      </c>
      <c r="P410" s="11">
        <v>45418</v>
      </c>
    </row>
    <row r="411" spans="1:16" ht="16.5" x14ac:dyDescent="0.4">
      <c r="A411" s="4" t="s">
        <v>93</v>
      </c>
      <c r="B411" s="70" t="s">
        <v>105</v>
      </c>
      <c r="C411" s="4" t="s">
        <v>111</v>
      </c>
      <c r="D411" s="4">
        <v>154</v>
      </c>
      <c r="E411" s="4">
        <v>100</v>
      </c>
      <c r="F411" s="5">
        <v>26504</v>
      </c>
      <c r="G411" s="5">
        <v>93717</v>
      </c>
      <c r="H411" s="6">
        <v>-67213</v>
      </c>
      <c r="I411" s="4" t="s">
        <v>101</v>
      </c>
      <c r="J411" s="5">
        <v>4192107</v>
      </c>
      <c r="K411" s="5">
        <v>26504</v>
      </c>
      <c r="L411" s="5">
        <v>8146291</v>
      </c>
      <c r="M411" s="5">
        <v>27764</v>
      </c>
      <c r="N411" s="7" t="s">
        <v>389</v>
      </c>
      <c r="O411" s="7" t="s">
        <v>800</v>
      </c>
      <c r="P411" s="11">
        <v>45418</v>
      </c>
    </row>
    <row r="412" spans="1:16" ht="16.5" x14ac:dyDescent="0.4">
      <c r="A412" s="4" t="s">
        <v>92</v>
      </c>
      <c r="B412" s="70" t="s">
        <v>178</v>
      </c>
      <c r="C412" s="4" t="s">
        <v>110</v>
      </c>
      <c r="D412" s="4">
        <v>212</v>
      </c>
      <c r="E412" s="4">
        <v>161</v>
      </c>
      <c r="F412" s="5">
        <v>58515</v>
      </c>
      <c r="G412" s="5">
        <v>209686</v>
      </c>
      <c r="H412" s="6">
        <v>-151171</v>
      </c>
      <c r="I412" s="4" t="s">
        <v>101</v>
      </c>
      <c r="J412" s="5">
        <v>6176013</v>
      </c>
      <c r="K412" s="5">
        <v>58515</v>
      </c>
      <c r="L412" s="5">
        <v>12120409</v>
      </c>
      <c r="M412" s="5">
        <v>62809</v>
      </c>
      <c r="N412" s="7" t="s">
        <v>298</v>
      </c>
      <c r="O412" s="7" t="s">
        <v>801</v>
      </c>
      <c r="P412" s="11">
        <v>45418</v>
      </c>
    </row>
    <row r="413" spans="1:16" ht="16.5" x14ac:dyDescent="0.4">
      <c r="A413" s="4" t="s">
        <v>93</v>
      </c>
      <c r="B413" s="70" t="s">
        <v>104</v>
      </c>
      <c r="C413" s="4" t="s">
        <v>111</v>
      </c>
      <c r="D413" s="4">
        <v>159</v>
      </c>
      <c r="E413" s="4">
        <v>102</v>
      </c>
      <c r="F413" s="5">
        <v>24245</v>
      </c>
      <c r="G413" s="5">
        <v>115970</v>
      </c>
      <c r="H413" s="6">
        <v>-91725</v>
      </c>
      <c r="I413" s="4" t="s">
        <v>101</v>
      </c>
      <c r="J413" s="5">
        <v>3404057</v>
      </c>
      <c r="K413" s="5">
        <v>24245</v>
      </c>
      <c r="L413" s="5">
        <v>6384943</v>
      </c>
      <c r="M413" s="5">
        <v>25687</v>
      </c>
      <c r="N413" s="7" t="s">
        <v>161</v>
      </c>
      <c r="O413" s="7" t="s">
        <v>802</v>
      </c>
      <c r="P413" s="11">
        <v>45419</v>
      </c>
    </row>
    <row r="414" spans="1:16" ht="16.5" x14ac:dyDescent="0.4">
      <c r="A414" s="4" t="s">
        <v>93</v>
      </c>
      <c r="B414" s="70" t="s">
        <v>105</v>
      </c>
      <c r="C414" s="4" t="s">
        <v>133</v>
      </c>
      <c r="D414" s="4">
        <v>149</v>
      </c>
      <c r="E414" s="4">
        <v>95</v>
      </c>
      <c r="F414" s="5">
        <v>19524</v>
      </c>
      <c r="G414" s="5">
        <v>93717</v>
      </c>
      <c r="H414" s="6">
        <v>-74193</v>
      </c>
      <c r="I414" s="4" t="s">
        <v>101</v>
      </c>
      <c r="J414" s="5">
        <v>713705</v>
      </c>
      <c r="K414" s="5">
        <v>19524</v>
      </c>
      <c r="L414" s="5">
        <v>3045954</v>
      </c>
      <c r="M414" s="5">
        <v>21332</v>
      </c>
      <c r="N414" s="7" t="s">
        <v>803</v>
      </c>
      <c r="O414" s="7" t="s">
        <v>804</v>
      </c>
      <c r="P414" s="11">
        <v>45419</v>
      </c>
    </row>
    <row r="415" spans="1:16" ht="16.5" x14ac:dyDescent="0.4">
      <c r="A415" s="4" t="s">
        <v>92</v>
      </c>
      <c r="B415" s="70" t="s">
        <v>104</v>
      </c>
      <c r="C415" s="4" t="s">
        <v>110</v>
      </c>
      <c r="D415" s="4">
        <v>170</v>
      </c>
      <c r="E415" s="4">
        <v>136</v>
      </c>
      <c r="F415" s="5">
        <v>50325</v>
      </c>
      <c r="G415" s="5">
        <v>115970</v>
      </c>
      <c r="H415" s="6">
        <v>-65645</v>
      </c>
      <c r="I415" s="4" t="s">
        <v>101</v>
      </c>
      <c r="J415" s="5">
        <v>7386319</v>
      </c>
      <c r="K415" s="5">
        <v>50325</v>
      </c>
      <c r="L415" s="5">
        <v>12844285</v>
      </c>
      <c r="M415" s="5">
        <v>54150</v>
      </c>
      <c r="N415" s="7" t="s">
        <v>519</v>
      </c>
      <c r="O415" s="7" t="s">
        <v>805</v>
      </c>
      <c r="P415" s="11">
        <v>45419</v>
      </c>
    </row>
    <row r="416" spans="1:16" ht="16.5" x14ac:dyDescent="0.4">
      <c r="A416" s="4" t="s">
        <v>92</v>
      </c>
      <c r="B416" s="70" t="s">
        <v>105</v>
      </c>
      <c r="C416" s="4" t="s">
        <v>122</v>
      </c>
      <c r="D416" s="4">
        <v>161</v>
      </c>
      <c r="E416" s="4">
        <v>101</v>
      </c>
      <c r="F416" s="5">
        <v>24653</v>
      </c>
      <c r="G416" s="5">
        <v>93717</v>
      </c>
      <c r="H416" s="6">
        <v>-69064</v>
      </c>
      <c r="I416" s="4" t="s">
        <v>101</v>
      </c>
      <c r="J416" s="5">
        <v>2892740</v>
      </c>
      <c r="K416" s="5">
        <v>24653</v>
      </c>
      <c r="L416" s="5">
        <v>4983327</v>
      </c>
      <c r="M416" s="5">
        <v>26460</v>
      </c>
      <c r="N416" s="7" t="s">
        <v>364</v>
      </c>
      <c r="O416" s="7" t="s">
        <v>806</v>
      </c>
      <c r="P416" s="11">
        <v>45419</v>
      </c>
    </row>
    <row r="417" spans="1:16" ht="16.5" x14ac:dyDescent="0.4">
      <c r="A417" s="4" t="s">
        <v>93</v>
      </c>
      <c r="B417" s="70" t="s">
        <v>104</v>
      </c>
      <c r="C417" s="4" t="s">
        <v>133</v>
      </c>
      <c r="D417" s="4">
        <v>131</v>
      </c>
      <c r="E417" s="4">
        <v>95</v>
      </c>
      <c r="F417" s="5">
        <v>28221</v>
      </c>
      <c r="G417" s="5">
        <v>115970</v>
      </c>
      <c r="H417" s="6">
        <v>-87749</v>
      </c>
      <c r="I417" s="4" t="s">
        <v>101</v>
      </c>
      <c r="J417" s="5">
        <v>647006</v>
      </c>
      <c r="K417" s="5">
        <v>28221</v>
      </c>
      <c r="L417" s="5">
        <v>4138500</v>
      </c>
      <c r="M417" s="5">
        <v>31390</v>
      </c>
      <c r="N417" s="7" t="s">
        <v>807</v>
      </c>
      <c r="O417" s="7" t="s">
        <v>808</v>
      </c>
      <c r="P417" s="11">
        <v>45420</v>
      </c>
    </row>
    <row r="418" spans="1:16" ht="16.5" x14ac:dyDescent="0.4">
      <c r="A418" s="4" t="s">
        <v>93</v>
      </c>
      <c r="B418" s="70" t="s">
        <v>105</v>
      </c>
      <c r="C418" s="4" t="s">
        <v>111</v>
      </c>
      <c r="D418" s="4">
        <v>154</v>
      </c>
      <c r="E418" s="4">
        <v>114</v>
      </c>
      <c r="F418" s="5">
        <v>29428</v>
      </c>
      <c r="G418" s="5">
        <v>93717</v>
      </c>
      <c r="H418" s="6">
        <v>-64289</v>
      </c>
      <c r="I418" s="4" t="s">
        <v>101</v>
      </c>
      <c r="J418" s="5">
        <v>6256894</v>
      </c>
      <c r="K418" s="5">
        <v>29428</v>
      </c>
      <c r="L418" s="5">
        <v>8444871</v>
      </c>
      <c r="M418" s="5">
        <v>30470</v>
      </c>
      <c r="N418" s="7" t="s">
        <v>370</v>
      </c>
      <c r="O418" s="7" t="s">
        <v>809</v>
      </c>
      <c r="P418" s="11">
        <v>45420</v>
      </c>
    </row>
    <row r="419" spans="1:16" ht="16.5" x14ac:dyDescent="0.4">
      <c r="A419" s="4" t="s">
        <v>92</v>
      </c>
      <c r="B419" s="70" t="s">
        <v>104</v>
      </c>
      <c r="C419" s="4" t="s">
        <v>110</v>
      </c>
      <c r="D419" s="4">
        <v>185</v>
      </c>
      <c r="E419" s="4">
        <v>141</v>
      </c>
      <c r="F419" s="5">
        <v>50447</v>
      </c>
      <c r="G419" s="5">
        <v>115970</v>
      </c>
      <c r="H419" s="6">
        <v>-65523</v>
      </c>
      <c r="I419" s="4" t="s">
        <v>101</v>
      </c>
      <c r="J419" s="5">
        <v>4308723</v>
      </c>
      <c r="K419" s="5">
        <v>50447</v>
      </c>
      <c r="L419" s="5">
        <v>11468848</v>
      </c>
      <c r="M419" s="5">
        <v>56276</v>
      </c>
      <c r="N419" s="7" t="s">
        <v>170</v>
      </c>
      <c r="O419" s="7" t="s">
        <v>810</v>
      </c>
      <c r="P419" s="11">
        <v>45420</v>
      </c>
    </row>
    <row r="420" spans="1:16" ht="16.5" x14ac:dyDescent="0.4">
      <c r="A420" s="4" t="s">
        <v>92</v>
      </c>
      <c r="B420" s="70" t="s">
        <v>105</v>
      </c>
      <c r="C420" s="4" t="s">
        <v>122</v>
      </c>
      <c r="D420" s="4">
        <v>160</v>
      </c>
      <c r="E420" s="4">
        <v>101</v>
      </c>
      <c r="F420" s="5">
        <v>32163</v>
      </c>
      <c r="G420" s="5">
        <v>93717</v>
      </c>
      <c r="H420" s="6">
        <v>-61554</v>
      </c>
      <c r="I420" s="4" t="s">
        <v>101</v>
      </c>
      <c r="J420" s="5">
        <v>3985374</v>
      </c>
      <c r="K420" s="5">
        <v>32163</v>
      </c>
      <c r="L420" s="5">
        <v>7584473</v>
      </c>
      <c r="M420" s="5">
        <v>35035</v>
      </c>
      <c r="N420" s="7" t="s">
        <v>395</v>
      </c>
      <c r="O420" s="7" t="s">
        <v>811</v>
      </c>
      <c r="P420" s="11">
        <v>45420</v>
      </c>
    </row>
    <row r="421" spans="1:16" ht="16.5" x14ac:dyDescent="0.4">
      <c r="A421" s="4" t="s">
        <v>93</v>
      </c>
      <c r="B421" s="70" t="s">
        <v>178</v>
      </c>
      <c r="C421" s="4" t="s">
        <v>133</v>
      </c>
      <c r="D421" s="4">
        <v>234</v>
      </c>
      <c r="E421" s="4">
        <v>154</v>
      </c>
      <c r="F421" s="5">
        <v>50784</v>
      </c>
      <c r="G421" s="5">
        <v>209686</v>
      </c>
      <c r="H421" s="6">
        <v>-158902</v>
      </c>
      <c r="I421" s="4" t="s">
        <v>101</v>
      </c>
      <c r="J421" s="5">
        <v>6240442</v>
      </c>
      <c r="K421" s="5">
        <v>50784</v>
      </c>
      <c r="L421" s="5">
        <v>11192568</v>
      </c>
      <c r="M421" s="5">
        <v>53991</v>
      </c>
      <c r="N421" s="7" t="s">
        <v>395</v>
      </c>
      <c r="O421" s="7" t="s">
        <v>762</v>
      </c>
      <c r="P421" s="11">
        <v>45421</v>
      </c>
    </row>
    <row r="422" spans="1:16" ht="16.5" x14ac:dyDescent="0.4">
      <c r="A422" s="4" t="s">
        <v>92</v>
      </c>
      <c r="B422" s="70" t="s">
        <v>178</v>
      </c>
      <c r="C422" s="4" t="s">
        <v>122</v>
      </c>
      <c r="D422" s="4">
        <v>191</v>
      </c>
      <c r="E422" s="4">
        <v>117</v>
      </c>
      <c r="F422" s="5">
        <v>57238</v>
      </c>
      <c r="G422" s="5">
        <v>209686</v>
      </c>
      <c r="H422" s="6">
        <v>-152448</v>
      </c>
      <c r="I422" s="4" t="s">
        <v>101</v>
      </c>
      <c r="J422" s="5">
        <v>7860410</v>
      </c>
      <c r="K422" s="5">
        <v>57238</v>
      </c>
      <c r="L422" s="5">
        <v>14054824</v>
      </c>
      <c r="M422" s="5">
        <v>61030</v>
      </c>
      <c r="N422" s="7" t="s">
        <v>185</v>
      </c>
      <c r="O422" s="7" t="s">
        <v>763</v>
      </c>
      <c r="P422" s="11">
        <v>45421</v>
      </c>
    </row>
    <row r="423" spans="1:16" ht="16.5" x14ac:dyDescent="0.4">
      <c r="A423" s="4" t="s">
        <v>93</v>
      </c>
      <c r="B423" s="70" t="s">
        <v>104</v>
      </c>
      <c r="C423" s="4" t="s">
        <v>110</v>
      </c>
      <c r="D423" s="4">
        <v>184</v>
      </c>
      <c r="E423" s="4">
        <v>128</v>
      </c>
      <c r="F423" s="5">
        <v>37037</v>
      </c>
      <c r="G423" s="5">
        <v>115970</v>
      </c>
      <c r="H423" s="6">
        <v>-78933</v>
      </c>
      <c r="I423" s="4" t="s">
        <v>101</v>
      </c>
      <c r="J423" s="5">
        <v>3965605</v>
      </c>
      <c r="K423" s="5">
        <v>37037</v>
      </c>
      <c r="L423" s="5">
        <v>8665548</v>
      </c>
      <c r="M423" s="5">
        <v>40450</v>
      </c>
      <c r="N423" s="7" t="s">
        <v>323</v>
      </c>
      <c r="O423" s="7" t="s">
        <v>812</v>
      </c>
      <c r="P423" s="11">
        <v>45422</v>
      </c>
    </row>
    <row r="424" spans="1:16" ht="16.5" x14ac:dyDescent="0.4">
      <c r="A424" s="4" t="s">
        <v>93</v>
      </c>
      <c r="B424" s="70" t="s">
        <v>105</v>
      </c>
      <c r="C424" s="4" t="s">
        <v>133</v>
      </c>
      <c r="D424" s="4">
        <v>180</v>
      </c>
      <c r="E424" s="4">
        <v>116</v>
      </c>
      <c r="F424" s="5">
        <v>28879</v>
      </c>
      <c r="G424" s="5">
        <v>93717</v>
      </c>
      <c r="H424" s="6">
        <v>-64838</v>
      </c>
      <c r="I424" s="4" t="s">
        <v>101</v>
      </c>
      <c r="J424" s="5">
        <v>3567740</v>
      </c>
      <c r="K424" s="5">
        <v>28879</v>
      </c>
      <c r="L424" s="5">
        <v>6532398</v>
      </c>
      <c r="M424" s="5">
        <v>31651</v>
      </c>
      <c r="N424" s="7" t="s">
        <v>395</v>
      </c>
      <c r="O424" s="7" t="s">
        <v>813</v>
      </c>
      <c r="P424" s="11">
        <v>45422</v>
      </c>
    </row>
    <row r="425" spans="1:16" ht="16.5" x14ac:dyDescent="0.4">
      <c r="A425" s="4" t="s">
        <v>92</v>
      </c>
      <c r="B425" s="70" t="s">
        <v>178</v>
      </c>
      <c r="C425" s="4" t="s">
        <v>122</v>
      </c>
      <c r="D425" s="4">
        <v>204</v>
      </c>
      <c r="E425" s="4">
        <v>102</v>
      </c>
      <c r="F425" s="5">
        <v>58355</v>
      </c>
      <c r="G425" s="5">
        <v>209686</v>
      </c>
      <c r="H425" s="6">
        <v>-151331</v>
      </c>
      <c r="I425" s="4" t="s">
        <v>101</v>
      </c>
      <c r="J425" s="5">
        <v>7522840</v>
      </c>
      <c r="K425" s="5">
        <v>58355</v>
      </c>
      <c r="L425" s="5">
        <v>13839834</v>
      </c>
      <c r="M425" s="5">
        <v>62171</v>
      </c>
      <c r="N425" s="7" t="s">
        <v>410</v>
      </c>
      <c r="O425" s="7" t="s">
        <v>814</v>
      </c>
      <c r="P425" s="11">
        <v>45422</v>
      </c>
    </row>
    <row r="426" spans="1:16" ht="16.5" x14ac:dyDescent="0.4">
      <c r="A426" s="4" t="s">
        <v>93</v>
      </c>
      <c r="B426" s="70" t="s">
        <v>104</v>
      </c>
      <c r="C426" s="4" t="s">
        <v>110</v>
      </c>
      <c r="D426" s="4">
        <v>187</v>
      </c>
      <c r="E426" s="4">
        <v>131</v>
      </c>
      <c r="F426" s="5">
        <v>34518</v>
      </c>
      <c r="G426" s="5">
        <v>115970</v>
      </c>
      <c r="H426" s="6">
        <v>-81452</v>
      </c>
      <c r="I426" s="4" t="s">
        <v>101</v>
      </c>
      <c r="J426" s="5">
        <v>3032513</v>
      </c>
      <c r="K426" s="5">
        <v>34518</v>
      </c>
      <c r="L426" s="5">
        <v>7643076</v>
      </c>
      <c r="M426" s="5">
        <v>37297</v>
      </c>
      <c r="N426" s="7" t="s">
        <v>721</v>
      </c>
      <c r="O426" s="7" t="s">
        <v>816</v>
      </c>
      <c r="P426" s="11">
        <v>45423</v>
      </c>
    </row>
    <row r="427" spans="1:16" ht="16.5" x14ac:dyDescent="0.4">
      <c r="A427" s="4" t="s">
        <v>93</v>
      </c>
      <c r="B427" s="70" t="s">
        <v>105</v>
      </c>
      <c r="C427" s="4" t="s">
        <v>111</v>
      </c>
      <c r="D427" s="4">
        <v>162</v>
      </c>
      <c r="E427" s="4">
        <v>101</v>
      </c>
      <c r="F427" s="5">
        <v>20244</v>
      </c>
      <c r="G427" s="5">
        <v>93717</v>
      </c>
      <c r="H427" s="6">
        <v>-73473</v>
      </c>
      <c r="I427" s="4" t="s">
        <v>101</v>
      </c>
      <c r="J427" s="5">
        <v>2653765</v>
      </c>
      <c r="K427" s="5">
        <v>20244</v>
      </c>
      <c r="L427" s="5">
        <v>4554105</v>
      </c>
      <c r="M427" s="5">
        <v>21133</v>
      </c>
      <c r="N427" s="7" t="s">
        <v>578</v>
      </c>
      <c r="O427" s="7" t="s">
        <v>817</v>
      </c>
      <c r="P427" s="11">
        <v>45423</v>
      </c>
    </row>
    <row r="428" spans="1:16" ht="16.5" x14ac:dyDescent="0.4">
      <c r="A428" s="4" t="s">
        <v>92</v>
      </c>
      <c r="B428" s="70" t="s">
        <v>178</v>
      </c>
      <c r="C428" s="4" t="s">
        <v>122</v>
      </c>
      <c r="D428" s="4">
        <v>189</v>
      </c>
      <c r="E428" s="4">
        <v>116</v>
      </c>
      <c r="F428" s="5">
        <v>52926</v>
      </c>
      <c r="G428" s="5">
        <v>209686</v>
      </c>
      <c r="H428" s="6">
        <v>-156760</v>
      </c>
      <c r="I428" s="4" t="s">
        <v>101</v>
      </c>
      <c r="J428" s="5">
        <v>5463297</v>
      </c>
      <c r="K428" s="5">
        <v>52926</v>
      </c>
      <c r="L428" s="5">
        <v>10715122</v>
      </c>
      <c r="M428" s="5">
        <v>55604</v>
      </c>
      <c r="N428" s="7" t="s">
        <v>815</v>
      </c>
      <c r="O428" s="7" t="s">
        <v>818</v>
      </c>
      <c r="P428" s="11">
        <v>45423</v>
      </c>
    </row>
    <row r="429" spans="1:16" ht="16.5" x14ac:dyDescent="0.4">
      <c r="A429" s="4" t="s">
        <v>93</v>
      </c>
      <c r="B429" s="70" t="s">
        <v>178</v>
      </c>
      <c r="C429" s="4" t="s">
        <v>133</v>
      </c>
      <c r="D429" s="4">
        <v>173</v>
      </c>
      <c r="E429" s="4">
        <v>141</v>
      </c>
      <c r="F429" s="5">
        <v>42078</v>
      </c>
      <c r="G429" s="5">
        <v>209686</v>
      </c>
      <c r="H429" s="6">
        <v>-167608</v>
      </c>
      <c r="I429" s="4" t="s">
        <v>101</v>
      </c>
      <c r="J429" s="5">
        <v>7117701</v>
      </c>
      <c r="K429" s="5">
        <v>42078</v>
      </c>
      <c r="L429" s="5">
        <v>11120459</v>
      </c>
      <c r="M429" s="5">
        <v>43734</v>
      </c>
      <c r="N429" s="7" t="s">
        <v>165</v>
      </c>
      <c r="O429" s="7" t="s">
        <v>819</v>
      </c>
      <c r="P429" s="11">
        <v>45424</v>
      </c>
    </row>
    <row r="430" spans="1:16" ht="16.5" x14ac:dyDescent="0.4">
      <c r="A430" s="4" t="s">
        <v>92</v>
      </c>
      <c r="B430" s="70" t="s">
        <v>178</v>
      </c>
      <c r="C430" s="4" t="s">
        <v>111</v>
      </c>
      <c r="D430" s="4">
        <v>151</v>
      </c>
      <c r="E430" s="4">
        <v>113</v>
      </c>
      <c r="F430" s="5">
        <v>52349</v>
      </c>
      <c r="G430" s="5">
        <v>209686</v>
      </c>
      <c r="H430" s="6">
        <v>-157337</v>
      </c>
      <c r="I430" s="4" t="s">
        <v>101</v>
      </c>
      <c r="J430" s="5">
        <v>7452566</v>
      </c>
      <c r="K430" s="5">
        <v>52349</v>
      </c>
      <c r="L430" s="5">
        <v>12201523</v>
      </c>
      <c r="M430" s="5">
        <v>54780</v>
      </c>
      <c r="N430" s="7" t="s">
        <v>172</v>
      </c>
      <c r="O430" s="7" t="s">
        <v>820</v>
      </c>
      <c r="P430" s="11">
        <v>45424</v>
      </c>
    </row>
    <row r="431" spans="1:16" ht="16.5" x14ac:dyDescent="0.4">
      <c r="A431" s="4" t="s">
        <v>93</v>
      </c>
      <c r="B431" s="70" t="s">
        <v>104</v>
      </c>
      <c r="C431" s="4" t="s">
        <v>122</v>
      </c>
      <c r="D431" s="4">
        <v>142</v>
      </c>
      <c r="E431" s="4">
        <v>103</v>
      </c>
      <c r="F431" s="5">
        <v>30117</v>
      </c>
      <c r="G431" s="5">
        <v>115970</v>
      </c>
      <c r="H431" s="6">
        <v>-85853</v>
      </c>
      <c r="I431" s="4" t="s">
        <v>101</v>
      </c>
      <c r="J431" s="5">
        <v>3833568</v>
      </c>
      <c r="K431" s="5">
        <v>30117</v>
      </c>
      <c r="L431" s="5">
        <v>7287663</v>
      </c>
      <c r="M431" s="5">
        <v>32593</v>
      </c>
      <c r="N431" s="7" t="s">
        <v>317</v>
      </c>
      <c r="O431" s="7" t="s">
        <v>821</v>
      </c>
      <c r="P431" s="11">
        <v>45425</v>
      </c>
    </row>
    <row r="432" spans="1:16" ht="16.5" x14ac:dyDescent="0.4">
      <c r="A432" s="4" t="s">
        <v>93</v>
      </c>
      <c r="B432" s="70" t="s">
        <v>105</v>
      </c>
      <c r="C432" s="4" t="s">
        <v>110</v>
      </c>
      <c r="D432" s="4">
        <v>172</v>
      </c>
      <c r="E432" s="4">
        <v>121</v>
      </c>
      <c r="F432" s="5">
        <v>26501</v>
      </c>
      <c r="G432" s="5">
        <v>93717</v>
      </c>
      <c r="H432" s="6">
        <v>-67216</v>
      </c>
      <c r="I432" s="4" t="s">
        <v>101</v>
      </c>
      <c r="J432" s="5">
        <v>3751112</v>
      </c>
      <c r="K432" s="5">
        <v>26501</v>
      </c>
      <c r="L432" s="5">
        <v>6476309</v>
      </c>
      <c r="M432" s="5">
        <v>28376</v>
      </c>
      <c r="N432" s="7" t="s">
        <v>161</v>
      </c>
      <c r="O432" s="7" t="s">
        <v>822</v>
      </c>
      <c r="P432" s="11">
        <v>45425</v>
      </c>
    </row>
    <row r="433" spans="1:16" ht="16.5" x14ac:dyDescent="0.4">
      <c r="A433" s="4" t="s">
        <v>92</v>
      </c>
      <c r="B433" s="70" t="s">
        <v>178</v>
      </c>
      <c r="C433" s="4" t="s">
        <v>133</v>
      </c>
      <c r="D433" s="4">
        <v>227</v>
      </c>
      <c r="E433" s="4">
        <v>174</v>
      </c>
      <c r="F433" s="5">
        <v>61712</v>
      </c>
      <c r="G433" s="5">
        <v>209686</v>
      </c>
      <c r="H433" s="6">
        <v>-147974</v>
      </c>
      <c r="I433" s="4" t="s">
        <v>101</v>
      </c>
      <c r="J433" s="5">
        <v>8067367</v>
      </c>
      <c r="K433" s="5">
        <v>61712</v>
      </c>
      <c r="L433" s="5">
        <v>15880045</v>
      </c>
      <c r="M433" s="5">
        <v>69078</v>
      </c>
      <c r="N433" s="7" t="s">
        <v>578</v>
      </c>
      <c r="O433" s="7" t="s">
        <v>823</v>
      </c>
      <c r="P433" s="11">
        <v>45425</v>
      </c>
    </row>
    <row r="434" spans="1:16" ht="16.5" x14ac:dyDescent="0.4">
      <c r="A434" s="4" t="s">
        <v>93</v>
      </c>
      <c r="B434" s="70" t="s">
        <v>104</v>
      </c>
      <c r="C434" s="4" t="s">
        <v>110</v>
      </c>
      <c r="D434" s="4">
        <v>175</v>
      </c>
      <c r="E434" s="4">
        <v>126</v>
      </c>
      <c r="F434" s="5">
        <v>34893</v>
      </c>
      <c r="G434" s="5">
        <v>115970</v>
      </c>
      <c r="H434" s="6">
        <v>-81077</v>
      </c>
      <c r="I434" s="4" t="s">
        <v>101</v>
      </c>
      <c r="J434" s="5">
        <v>5525150</v>
      </c>
      <c r="K434" s="5">
        <v>34893</v>
      </c>
      <c r="L434" s="5">
        <v>10428884</v>
      </c>
      <c r="M434" s="5">
        <v>37179</v>
      </c>
      <c r="N434" s="7" t="s">
        <v>389</v>
      </c>
      <c r="O434" s="7" t="s">
        <v>824</v>
      </c>
      <c r="P434" s="11">
        <v>45426</v>
      </c>
    </row>
    <row r="435" spans="1:16" ht="16.5" x14ac:dyDescent="0.4">
      <c r="A435" s="4" t="s">
        <v>93</v>
      </c>
      <c r="B435" s="70" t="s">
        <v>105</v>
      </c>
      <c r="C435" s="4" t="s">
        <v>122</v>
      </c>
      <c r="D435" s="4">
        <v>154</v>
      </c>
      <c r="E435" s="4">
        <v>101</v>
      </c>
      <c r="F435" s="5">
        <v>20277</v>
      </c>
      <c r="G435" s="5">
        <v>93717</v>
      </c>
      <c r="H435" s="6">
        <v>-73440</v>
      </c>
      <c r="I435" s="4" t="s">
        <v>101</v>
      </c>
      <c r="J435" s="5">
        <v>2193250</v>
      </c>
      <c r="K435" s="5">
        <v>20277</v>
      </c>
      <c r="L435" s="5">
        <v>4051855</v>
      </c>
      <c r="M435" s="5">
        <v>21438</v>
      </c>
      <c r="N435" s="7" t="s">
        <v>167</v>
      </c>
      <c r="O435" s="7" t="s">
        <v>825</v>
      </c>
      <c r="P435" s="11">
        <v>45426</v>
      </c>
    </row>
    <row r="436" spans="1:16" ht="16.5" x14ac:dyDescent="0.4">
      <c r="A436" s="4" t="s">
        <v>92</v>
      </c>
      <c r="B436" s="70" t="s">
        <v>104</v>
      </c>
      <c r="C436" s="4" t="s">
        <v>133</v>
      </c>
      <c r="D436" s="4">
        <v>195</v>
      </c>
      <c r="E436" s="4">
        <v>165</v>
      </c>
      <c r="F436" s="5">
        <v>45130</v>
      </c>
      <c r="G436" s="5">
        <v>115970</v>
      </c>
      <c r="H436" s="6">
        <v>-70840</v>
      </c>
      <c r="I436" s="4" t="s">
        <v>101</v>
      </c>
      <c r="J436" s="5">
        <v>4114304</v>
      </c>
      <c r="K436" s="5">
        <v>45130</v>
      </c>
      <c r="L436" s="5">
        <v>9940344</v>
      </c>
      <c r="M436" s="5">
        <v>51878</v>
      </c>
      <c r="N436" s="7" t="s">
        <v>157</v>
      </c>
      <c r="O436" s="7" t="s">
        <v>826</v>
      </c>
      <c r="P436" s="11">
        <v>45426</v>
      </c>
    </row>
    <row r="437" spans="1:16" ht="16.5" x14ac:dyDescent="0.4">
      <c r="A437" s="4" t="s">
        <v>92</v>
      </c>
      <c r="B437" s="70" t="s">
        <v>105</v>
      </c>
      <c r="C437" s="4" t="s">
        <v>111</v>
      </c>
      <c r="D437" s="4">
        <v>155</v>
      </c>
      <c r="E437" s="4">
        <v>104</v>
      </c>
      <c r="F437" s="5">
        <v>32731</v>
      </c>
      <c r="G437" s="5">
        <v>93717</v>
      </c>
      <c r="H437" s="6">
        <v>-60986</v>
      </c>
      <c r="I437" s="4" t="s">
        <v>101</v>
      </c>
      <c r="J437" s="5">
        <v>3887618</v>
      </c>
      <c r="K437" s="5">
        <v>32731</v>
      </c>
      <c r="L437" s="5">
        <v>7470017</v>
      </c>
      <c r="M437" s="5">
        <v>35842</v>
      </c>
      <c r="N437" s="7" t="s">
        <v>561</v>
      </c>
      <c r="O437" s="7" t="s">
        <v>827</v>
      </c>
      <c r="P437" s="11">
        <v>45426</v>
      </c>
    </row>
    <row r="438" spans="1:16" ht="16.5" x14ac:dyDescent="0.4">
      <c r="A438" s="4" t="s">
        <v>93</v>
      </c>
      <c r="B438" s="70" t="s">
        <v>178</v>
      </c>
      <c r="C438" s="4" t="s">
        <v>110</v>
      </c>
      <c r="D438" s="4">
        <v>237</v>
      </c>
      <c r="E438" s="4">
        <v>175</v>
      </c>
      <c r="F438" s="5">
        <v>47660</v>
      </c>
      <c r="G438" s="5">
        <v>209686</v>
      </c>
      <c r="H438" s="6">
        <v>-162026</v>
      </c>
      <c r="I438" s="4" t="s">
        <v>101</v>
      </c>
      <c r="J438" s="5">
        <v>7738873</v>
      </c>
      <c r="K438" s="5">
        <v>47660</v>
      </c>
      <c r="L438" s="5">
        <v>12610165</v>
      </c>
      <c r="M438" s="5">
        <v>49584</v>
      </c>
      <c r="N438" s="7" t="s">
        <v>411</v>
      </c>
      <c r="O438" s="7" t="s">
        <v>828</v>
      </c>
      <c r="P438" s="11">
        <v>45427</v>
      </c>
    </row>
    <row r="439" spans="1:16" ht="16.5" x14ac:dyDescent="0.4">
      <c r="A439" s="4" t="s">
        <v>92</v>
      </c>
      <c r="B439" s="70" t="s">
        <v>178</v>
      </c>
      <c r="C439" s="4" t="s">
        <v>133</v>
      </c>
      <c r="D439" s="4">
        <v>254</v>
      </c>
      <c r="E439" s="4">
        <v>210</v>
      </c>
      <c r="F439" s="5">
        <v>63476</v>
      </c>
      <c r="G439" s="5">
        <v>209686</v>
      </c>
      <c r="H439" s="6">
        <v>-146210</v>
      </c>
      <c r="I439" s="4" t="s">
        <v>101</v>
      </c>
      <c r="J439" s="5">
        <v>8216587</v>
      </c>
      <c r="K439" s="5">
        <v>63476</v>
      </c>
      <c r="L439" s="5">
        <v>17004421</v>
      </c>
      <c r="M439" s="5">
        <v>69459</v>
      </c>
      <c r="N439" s="7" t="s">
        <v>169</v>
      </c>
      <c r="O439" s="7" t="s">
        <v>829</v>
      </c>
      <c r="P439" s="11">
        <v>45427</v>
      </c>
    </row>
    <row r="440" spans="1:16" ht="16.5" x14ac:dyDescent="0.4">
      <c r="A440" s="4" t="s">
        <v>93</v>
      </c>
      <c r="B440" s="70" t="s">
        <v>104</v>
      </c>
      <c r="C440" s="4" t="s">
        <v>110</v>
      </c>
      <c r="D440" s="4">
        <v>176</v>
      </c>
      <c r="E440" s="4">
        <v>132</v>
      </c>
      <c r="F440" s="5">
        <v>38827</v>
      </c>
      <c r="G440" s="5">
        <v>115970</v>
      </c>
      <c r="H440" s="6">
        <v>-77143</v>
      </c>
      <c r="I440" s="4" t="s">
        <v>101</v>
      </c>
      <c r="J440" s="5">
        <v>4181026</v>
      </c>
      <c r="K440" s="5">
        <v>38827</v>
      </c>
      <c r="L440" s="5">
        <v>9383204</v>
      </c>
      <c r="M440" s="5">
        <v>42673</v>
      </c>
      <c r="N440" s="7" t="s">
        <v>323</v>
      </c>
      <c r="O440" s="7" t="s">
        <v>830</v>
      </c>
      <c r="P440" s="11">
        <v>45428</v>
      </c>
    </row>
    <row r="441" spans="1:16" ht="16.5" x14ac:dyDescent="0.4">
      <c r="A441" s="4" t="s">
        <v>93</v>
      </c>
      <c r="B441" s="70" t="s">
        <v>105</v>
      </c>
      <c r="C441" s="4" t="s">
        <v>122</v>
      </c>
      <c r="D441" s="4">
        <v>152</v>
      </c>
      <c r="E441" s="4">
        <v>101</v>
      </c>
      <c r="F441" s="5">
        <v>18066</v>
      </c>
      <c r="G441" s="5">
        <v>93717</v>
      </c>
      <c r="H441" s="6">
        <v>-75651</v>
      </c>
      <c r="I441" s="4" t="s">
        <v>101</v>
      </c>
      <c r="J441" s="5">
        <v>2960510</v>
      </c>
      <c r="K441" s="5">
        <v>18066</v>
      </c>
      <c r="L441" s="5">
        <v>4961364</v>
      </c>
      <c r="M441" s="5">
        <v>18869</v>
      </c>
      <c r="N441" s="7" t="s">
        <v>412</v>
      </c>
      <c r="O441" s="7" t="s">
        <v>831</v>
      </c>
      <c r="P441" s="11">
        <v>45428</v>
      </c>
    </row>
    <row r="442" spans="1:16" ht="16.5" x14ac:dyDescent="0.4">
      <c r="A442" s="4" t="s">
        <v>92</v>
      </c>
      <c r="B442" s="70" t="s">
        <v>178</v>
      </c>
      <c r="C442" s="4" t="s">
        <v>133</v>
      </c>
      <c r="D442" s="4">
        <v>314</v>
      </c>
      <c r="E442" s="4">
        <v>237</v>
      </c>
      <c r="F442" s="5">
        <v>66257</v>
      </c>
      <c r="G442" s="5">
        <v>209686</v>
      </c>
      <c r="H442" s="6">
        <v>-143429</v>
      </c>
      <c r="I442" s="4" t="s">
        <v>101</v>
      </c>
      <c r="J442" s="5">
        <v>7933643</v>
      </c>
      <c r="K442" s="5">
        <v>66257</v>
      </c>
      <c r="L442" s="5">
        <v>16816539</v>
      </c>
      <c r="M442" s="5">
        <v>74764</v>
      </c>
      <c r="N442" s="7" t="s">
        <v>561</v>
      </c>
      <c r="O442" s="7" t="s">
        <v>832</v>
      </c>
      <c r="P442" s="11">
        <v>45428</v>
      </c>
    </row>
    <row r="443" spans="1:16" ht="16.5" x14ac:dyDescent="0.4">
      <c r="A443" s="4" t="s">
        <v>93</v>
      </c>
      <c r="B443" s="70" t="s">
        <v>178</v>
      </c>
      <c r="C443" s="4" t="s">
        <v>110</v>
      </c>
      <c r="D443" s="4">
        <v>230</v>
      </c>
      <c r="E443" s="4">
        <v>171</v>
      </c>
      <c r="F443" s="5">
        <v>49410</v>
      </c>
      <c r="G443" s="5">
        <v>209686</v>
      </c>
      <c r="H443" s="6">
        <v>-160276</v>
      </c>
      <c r="I443" s="4" t="s">
        <v>101</v>
      </c>
      <c r="J443" s="5">
        <v>4377859</v>
      </c>
      <c r="K443" s="5">
        <v>49410</v>
      </c>
      <c r="L443" s="5">
        <v>9122743</v>
      </c>
      <c r="M443" s="5">
        <v>51409</v>
      </c>
      <c r="N443" s="7" t="s">
        <v>488</v>
      </c>
      <c r="O443" s="7" t="s">
        <v>833</v>
      </c>
      <c r="P443" s="11">
        <v>45429</v>
      </c>
    </row>
    <row r="444" spans="1:16" ht="16.5" x14ac:dyDescent="0.4">
      <c r="A444" s="4" t="s">
        <v>92</v>
      </c>
      <c r="B444" s="70" t="s">
        <v>178</v>
      </c>
      <c r="C444" s="4" t="s">
        <v>122</v>
      </c>
      <c r="D444" s="4">
        <v>173</v>
      </c>
      <c r="E444" s="4">
        <v>116</v>
      </c>
      <c r="F444" s="5">
        <v>53749</v>
      </c>
      <c r="G444" s="5">
        <v>209686</v>
      </c>
      <c r="H444" s="6">
        <v>-155937</v>
      </c>
      <c r="I444" s="4" t="s">
        <v>101</v>
      </c>
      <c r="J444" s="5">
        <v>4400360</v>
      </c>
      <c r="K444" s="5">
        <v>53749</v>
      </c>
      <c r="L444" s="5">
        <v>9315876</v>
      </c>
      <c r="M444" s="5">
        <v>58172</v>
      </c>
      <c r="N444" s="7" t="s">
        <v>121</v>
      </c>
      <c r="O444" s="7" t="s">
        <v>834</v>
      </c>
      <c r="P444" s="11">
        <v>45429</v>
      </c>
    </row>
    <row r="445" spans="1:16" ht="16.5" x14ac:dyDescent="0.4">
      <c r="A445" s="4" t="s">
        <v>93</v>
      </c>
      <c r="B445" s="70" t="s">
        <v>178</v>
      </c>
      <c r="C445" s="4" t="s">
        <v>133</v>
      </c>
      <c r="D445" s="4">
        <v>214</v>
      </c>
      <c r="E445" s="4">
        <v>170</v>
      </c>
      <c r="F445" s="5">
        <v>36306</v>
      </c>
      <c r="G445" s="5">
        <v>209686</v>
      </c>
      <c r="H445" s="6">
        <v>-173380</v>
      </c>
      <c r="I445" s="4" t="s">
        <v>101</v>
      </c>
      <c r="J445" s="5">
        <v>3903910</v>
      </c>
      <c r="K445" s="5">
        <v>36306</v>
      </c>
      <c r="L445" s="5">
        <v>6983355</v>
      </c>
      <c r="M445" s="5">
        <v>36813</v>
      </c>
      <c r="N445" s="7" t="s">
        <v>323</v>
      </c>
      <c r="O445" s="7" t="s">
        <v>835</v>
      </c>
      <c r="P445" s="11">
        <v>45430</v>
      </c>
    </row>
    <row r="446" spans="1:16" ht="16.5" x14ac:dyDescent="0.4">
      <c r="A446" s="4" t="s">
        <v>92</v>
      </c>
      <c r="B446" s="70" t="s">
        <v>178</v>
      </c>
      <c r="C446" s="4" t="s">
        <v>122</v>
      </c>
      <c r="D446" s="4">
        <v>207</v>
      </c>
      <c r="E446" s="4">
        <v>133</v>
      </c>
      <c r="F446" s="5">
        <v>48241</v>
      </c>
      <c r="G446" s="5">
        <v>209686</v>
      </c>
      <c r="H446" s="6">
        <v>-161445</v>
      </c>
      <c r="I446" s="4" t="s">
        <v>101</v>
      </c>
      <c r="J446" s="5">
        <v>6041012</v>
      </c>
      <c r="K446" s="5">
        <v>48241</v>
      </c>
      <c r="L446" s="5">
        <v>11645648</v>
      </c>
      <c r="M446" s="5">
        <v>51621</v>
      </c>
      <c r="N446" s="7" t="s">
        <v>597</v>
      </c>
      <c r="O446" s="7" t="s">
        <v>836</v>
      </c>
      <c r="P446" s="11">
        <v>45430</v>
      </c>
    </row>
    <row r="447" spans="1:16" ht="16.5" x14ac:dyDescent="0.4">
      <c r="A447" s="4" t="s">
        <v>93</v>
      </c>
      <c r="B447" s="70" t="s">
        <v>178</v>
      </c>
      <c r="C447" s="4" t="s">
        <v>110</v>
      </c>
      <c r="D447" s="4">
        <v>284</v>
      </c>
      <c r="E447" s="4">
        <v>188</v>
      </c>
      <c r="F447" s="5">
        <v>42753</v>
      </c>
      <c r="G447" s="5">
        <v>209686</v>
      </c>
      <c r="H447" s="6">
        <v>-166933</v>
      </c>
      <c r="I447" s="4" t="s">
        <v>101</v>
      </c>
      <c r="J447" s="5">
        <v>5802653</v>
      </c>
      <c r="K447" s="5">
        <v>42753</v>
      </c>
      <c r="L447" s="5">
        <v>10480022</v>
      </c>
      <c r="M447" s="5">
        <v>44053</v>
      </c>
      <c r="N447" s="7" t="s">
        <v>438</v>
      </c>
      <c r="O447" s="7" t="s">
        <v>837</v>
      </c>
      <c r="P447" s="11">
        <v>45431</v>
      </c>
    </row>
    <row r="448" spans="1:16" ht="16.5" x14ac:dyDescent="0.4">
      <c r="A448" s="4" t="s">
        <v>92</v>
      </c>
      <c r="B448" s="70" t="s">
        <v>178</v>
      </c>
      <c r="C448" s="4" t="s">
        <v>122</v>
      </c>
      <c r="D448" s="4">
        <v>213</v>
      </c>
      <c r="E448" s="4">
        <v>130</v>
      </c>
      <c r="F448" s="5">
        <v>44582</v>
      </c>
      <c r="G448" s="5">
        <v>209686</v>
      </c>
      <c r="H448" s="6">
        <v>-165104</v>
      </c>
      <c r="I448" s="4" t="s">
        <v>101</v>
      </c>
      <c r="J448" s="5">
        <v>5807117</v>
      </c>
      <c r="K448" s="5">
        <v>44582</v>
      </c>
      <c r="L448" s="5">
        <v>11309501</v>
      </c>
      <c r="M448" s="5">
        <v>47239</v>
      </c>
      <c r="N448" s="7" t="s">
        <v>169</v>
      </c>
      <c r="O448" s="7" t="s">
        <v>838</v>
      </c>
      <c r="P448" s="11">
        <v>45431</v>
      </c>
    </row>
    <row r="449" spans="1:16" ht="16.5" x14ac:dyDescent="0.4">
      <c r="A449" s="4" t="s">
        <v>93</v>
      </c>
      <c r="B449" s="70" t="s">
        <v>104</v>
      </c>
      <c r="C449" s="4" t="s">
        <v>110</v>
      </c>
      <c r="D449" s="4">
        <v>185</v>
      </c>
      <c r="E449" s="4">
        <v>133</v>
      </c>
      <c r="F449" s="5">
        <v>31329</v>
      </c>
      <c r="G449" s="5">
        <v>115970</v>
      </c>
      <c r="H449" s="6">
        <v>-84641</v>
      </c>
      <c r="I449" s="4" t="s">
        <v>101</v>
      </c>
      <c r="J449" s="5">
        <v>2974960</v>
      </c>
      <c r="K449" s="5">
        <v>31329</v>
      </c>
      <c r="L449" s="5">
        <v>7006549</v>
      </c>
      <c r="M449" s="5">
        <v>33625</v>
      </c>
      <c r="N449" s="7" t="s">
        <v>369</v>
      </c>
      <c r="O449" s="7" t="s">
        <v>839</v>
      </c>
      <c r="P449" s="11">
        <v>45432</v>
      </c>
    </row>
    <row r="450" spans="1:16" ht="16.5" x14ac:dyDescent="0.4">
      <c r="A450" s="4" t="s">
        <v>93</v>
      </c>
      <c r="B450" s="70" t="s">
        <v>105</v>
      </c>
      <c r="C450" s="4" t="s">
        <v>133</v>
      </c>
      <c r="D450" s="4">
        <v>185</v>
      </c>
      <c r="E450" s="4">
        <v>131</v>
      </c>
      <c r="F450" s="5">
        <v>20228</v>
      </c>
      <c r="G450" s="5">
        <v>93717</v>
      </c>
      <c r="H450" s="6">
        <v>-73489</v>
      </c>
      <c r="I450" s="4" t="s">
        <v>101</v>
      </c>
      <c r="J450" s="5">
        <v>1862024</v>
      </c>
      <c r="K450" s="5">
        <v>20228</v>
      </c>
      <c r="L450" s="5">
        <v>3885201</v>
      </c>
      <c r="M450" s="5">
        <v>21094</v>
      </c>
      <c r="N450" s="7" t="s">
        <v>366</v>
      </c>
      <c r="O450" s="7" t="s">
        <v>840</v>
      </c>
      <c r="P450" s="11">
        <v>45432</v>
      </c>
    </row>
    <row r="451" spans="1:16" ht="16.5" x14ac:dyDescent="0.4">
      <c r="A451" s="4" t="s">
        <v>92</v>
      </c>
      <c r="B451" s="70" t="s">
        <v>104</v>
      </c>
      <c r="C451" s="4" t="s">
        <v>158</v>
      </c>
      <c r="D451" s="4">
        <v>180</v>
      </c>
      <c r="E451" s="4">
        <v>99</v>
      </c>
      <c r="F451" s="5">
        <v>33040</v>
      </c>
      <c r="G451" s="5">
        <v>115970</v>
      </c>
      <c r="H451" s="6">
        <v>-82930</v>
      </c>
      <c r="I451" s="4" t="s">
        <v>101</v>
      </c>
      <c r="J451" s="5">
        <v>2573978</v>
      </c>
      <c r="K451" s="5">
        <v>33040</v>
      </c>
      <c r="L451" s="5">
        <v>5299742</v>
      </c>
      <c r="M451" s="5">
        <v>35615</v>
      </c>
      <c r="N451" s="7" t="s">
        <v>664</v>
      </c>
      <c r="O451" s="7" t="s">
        <v>841</v>
      </c>
      <c r="P451" s="11">
        <v>45432</v>
      </c>
    </row>
    <row r="452" spans="1:16" ht="16.5" x14ac:dyDescent="0.4">
      <c r="A452" s="4" t="s">
        <v>92</v>
      </c>
      <c r="B452" s="70" t="s">
        <v>105</v>
      </c>
      <c r="C452" s="4" t="s">
        <v>111</v>
      </c>
      <c r="D452" s="4">
        <v>154</v>
      </c>
      <c r="E452" s="4">
        <v>102</v>
      </c>
      <c r="F452" s="5">
        <v>32559</v>
      </c>
      <c r="G452" s="5">
        <v>93717</v>
      </c>
      <c r="H452" s="6">
        <v>-61158</v>
      </c>
      <c r="I452" s="4" t="s">
        <v>101</v>
      </c>
      <c r="J452" s="5">
        <v>4115448</v>
      </c>
      <c r="K452" s="5">
        <v>32559</v>
      </c>
      <c r="L452" s="5">
        <v>6619603</v>
      </c>
      <c r="M452" s="5">
        <v>34515</v>
      </c>
      <c r="N452" s="7" t="s">
        <v>317</v>
      </c>
      <c r="O452" s="7" t="s">
        <v>842</v>
      </c>
      <c r="P452" s="11">
        <v>45432</v>
      </c>
    </row>
    <row r="453" spans="1:16" ht="16.5" x14ac:dyDescent="0.4">
      <c r="A453" s="4" t="s">
        <v>93</v>
      </c>
      <c r="B453" s="70" t="s">
        <v>104</v>
      </c>
      <c r="C453" s="4" t="s">
        <v>110</v>
      </c>
      <c r="D453" s="4">
        <v>183</v>
      </c>
      <c r="E453" s="4">
        <v>148</v>
      </c>
      <c r="F453" s="5">
        <v>38503</v>
      </c>
      <c r="G453" s="5">
        <v>115970</v>
      </c>
      <c r="H453" s="6">
        <v>-77467</v>
      </c>
      <c r="I453" s="4" t="s">
        <v>101</v>
      </c>
      <c r="J453" s="5">
        <v>2378873</v>
      </c>
      <c r="K453" s="5">
        <v>38503</v>
      </c>
      <c r="L453" s="5">
        <v>7726130</v>
      </c>
      <c r="M453" s="5">
        <v>41283</v>
      </c>
      <c r="N453" s="7" t="s">
        <v>712</v>
      </c>
      <c r="O453" s="7" t="s">
        <v>843</v>
      </c>
      <c r="P453" s="11">
        <v>45433</v>
      </c>
    </row>
    <row r="454" spans="1:16" ht="16.5" x14ac:dyDescent="0.4">
      <c r="A454" s="4" t="s">
        <v>93</v>
      </c>
      <c r="B454" s="70" t="s">
        <v>105</v>
      </c>
      <c r="C454" s="4" t="s">
        <v>122</v>
      </c>
      <c r="D454" s="4">
        <v>217</v>
      </c>
      <c r="E454" s="4">
        <v>104</v>
      </c>
      <c r="F454" s="5">
        <v>18659</v>
      </c>
      <c r="G454" s="5">
        <v>93717</v>
      </c>
      <c r="H454" s="6">
        <v>-75058</v>
      </c>
      <c r="I454" s="4" t="s">
        <v>101</v>
      </c>
      <c r="J454" s="5">
        <v>1809956</v>
      </c>
      <c r="K454" s="5">
        <v>18659</v>
      </c>
      <c r="L454" s="5">
        <v>4023285</v>
      </c>
      <c r="M454" s="5">
        <v>19654</v>
      </c>
      <c r="N454" s="7" t="s">
        <v>162</v>
      </c>
      <c r="O454" s="7" t="s">
        <v>844</v>
      </c>
      <c r="P454" s="11">
        <v>45433</v>
      </c>
    </row>
    <row r="455" spans="1:16" ht="16.5" x14ac:dyDescent="0.4">
      <c r="A455" s="4" t="s">
        <v>92</v>
      </c>
      <c r="B455" s="70" t="s">
        <v>104</v>
      </c>
      <c r="C455" s="4" t="s">
        <v>158</v>
      </c>
      <c r="D455" s="4">
        <v>170</v>
      </c>
      <c r="E455" s="4">
        <v>106</v>
      </c>
      <c r="F455" s="5">
        <v>35774</v>
      </c>
      <c r="G455" s="5">
        <v>115970</v>
      </c>
      <c r="H455" s="6">
        <v>-80196</v>
      </c>
      <c r="I455" s="4" t="s">
        <v>101</v>
      </c>
      <c r="J455" s="5">
        <v>2044547</v>
      </c>
      <c r="K455" s="5">
        <v>35774</v>
      </c>
      <c r="L455" s="5">
        <v>5001900</v>
      </c>
      <c r="M455" s="5">
        <v>39119</v>
      </c>
      <c r="N455" s="7" t="s">
        <v>705</v>
      </c>
      <c r="O455" s="7" t="s">
        <v>845</v>
      </c>
      <c r="P455" s="11">
        <v>45433</v>
      </c>
    </row>
    <row r="456" spans="1:16" ht="16.5" x14ac:dyDescent="0.4">
      <c r="A456" s="4" t="s">
        <v>92</v>
      </c>
      <c r="B456" s="70" t="s">
        <v>105</v>
      </c>
      <c r="C456" s="4" t="s">
        <v>111</v>
      </c>
      <c r="D456" s="4">
        <v>152</v>
      </c>
      <c r="E456" s="4">
        <v>100</v>
      </c>
      <c r="F456" s="5">
        <v>33379</v>
      </c>
      <c r="G456" s="5">
        <v>93717</v>
      </c>
      <c r="H456" s="6">
        <v>-60338</v>
      </c>
      <c r="I456" s="4" t="s">
        <v>101</v>
      </c>
      <c r="J456" s="5">
        <v>2279959</v>
      </c>
      <c r="K456" s="5">
        <v>33379</v>
      </c>
      <c r="L456" s="5">
        <v>5250622</v>
      </c>
      <c r="M456" s="5">
        <v>36162</v>
      </c>
      <c r="N456" s="7" t="s">
        <v>360</v>
      </c>
      <c r="O456" s="7" t="s">
        <v>846</v>
      </c>
      <c r="P456" s="11">
        <v>45433</v>
      </c>
    </row>
    <row r="457" spans="1:16" ht="16.5" x14ac:dyDescent="0.4">
      <c r="A457" s="4" t="s">
        <v>93</v>
      </c>
      <c r="B457" s="70" t="s">
        <v>104</v>
      </c>
      <c r="C457" s="4" t="s">
        <v>122</v>
      </c>
      <c r="D457" s="4">
        <v>224</v>
      </c>
      <c r="E457" s="4">
        <v>103</v>
      </c>
      <c r="F457" s="5">
        <v>28735</v>
      </c>
      <c r="G457" s="5">
        <v>115970</v>
      </c>
      <c r="H457" s="6">
        <v>-87235</v>
      </c>
      <c r="I457" s="4" t="s">
        <v>101</v>
      </c>
      <c r="J457" s="5">
        <v>2413291</v>
      </c>
      <c r="K457" s="5">
        <v>28735</v>
      </c>
      <c r="L457" s="5">
        <v>6179515</v>
      </c>
      <c r="M457" s="5">
        <v>31049</v>
      </c>
      <c r="N457" s="7" t="s">
        <v>473</v>
      </c>
      <c r="O457" s="7" t="s">
        <v>847</v>
      </c>
      <c r="P457" s="11">
        <v>45434</v>
      </c>
    </row>
    <row r="458" spans="1:16" ht="16.5" x14ac:dyDescent="0.4">
      <c r="A458" s="4" t="s">
        <v>93</v>
      </c>
      <c r="B458" s="70" t="s">
        <v>105</v>
      </c>
      <c r="C458" s="4" t="s">
        <v>133</v>
      </c>
      <c r="D458" s="4">
        <v>182</v>
      </c>
      <c r="E458" s="4">
        <v>123</v>
      </c>
      <c r="F458" s="5">
        <v>28038</v>
      </c>
      <c r="G458" s="5">
        <v>93717</v>
      </c>
      <c r="H458" s="6">
        <v>-65679</v>
      </c>
      <c r="I458" s="4" t="s">
        <v>101</v>
      </c>
      <c r="J458" s="5">
        <v>2555005</v>
      </c>
      <c r="K458" s="5">
        <v>28038</v>
      </c>
      <c r="L458" s="5">
        <v>5779021</v>
      </c>
      <c r="M458" s="5">
        <v>30041</v>
      </c>
      <c r="N458" s="7" t="s">
        <v>157</v>
      </c>
      <c r="O458" s="7" t="s">
        <v>848</v>
      </c>
      <c r="P458" s="11">
        <v>45434</v>
      </c>
    </row>
    <row r="459" spans="1:16" ht="16.5" x14ac:dyDescent="0.4">
      <c r="A459" s="4" t="s">
        <v>92</v>
      </c>
      <c r="B459" s="70" t="s">
        <v>104</v>
      </c>
      <c r="C459" s="4" t="s">
        <v>110</v>
      </c>
      <c r="D459" s="4">
        <v>185</v>
      </c>
      <c r="E459" s="4">
        <v>142</v>
      </c>
      <c r="F459" s="5">
        <v>45501</v>
      </c>
      <c r="G459" s="5">
        <v>115970</v>
      </c>
      <c r="H459" s="6">
        <v>-70469</v>
      </c>
      <c r="I459" s="4" t="s">
        <v>101</v>
      </c>
      <c r="J459" s="5">
        <v>3027526</v>
      </c>
      <c r="K459" s="5">
        <v>45501</v>
      </c>
      <c r="L459" s="5">
        <v>8156925</v>
      </c>
      <c r="M459" s="5">
        <v>50281</v>
      </c>
      <c r="N459" s="7" t="s">
        <v>171</v>
      </c>
      <c r="O459" s="7" t="s">
        <v>849</v>
      </c>
      <c r="P459" s="11">
        <v>45434</v>
      </c>
    </row>
    <row r="460" spans="1:16" ht="16.5" x14ac:dyDescent="0.4">
      <c r="A460" s="4" t="s">
        <v>92</v>
      </c>
      <c r="B460" s="70" t="s">
        <v>105</v>
      </c>
      <c r="C460" s="4" t="s">
        <v>158</v>
      </c>
      <c r="D460" s="4">
        <v>177</v>
      </c>
      <c r="E460" s="4">
        <v>108</v>
      </c>
      <c r="F460" s="5">
        <v>27450</v>
      </c>
      <c r="G460" s="5">
        <v>93717</v>
      </c>
      <c r="H460" s="6">
        <v>-66267</v>
      </c>
      <c r="I460" s="4" t="s">
        <v>101</v>
      </c>
      <c r="J460" s="5">
        <v>1841768</v>
      </c>
      <c r="K460" s="5">
        <v>27450</v>
      </c>
      <c r="L460" s="5">
        <v>3740478</v>
      </c>
      <c r="M460" s="5">
        <v>29521</v>
      </c>
      <c r="N460" s="7" t="s">
        <v>850</v>
      </c>
      <c r="O460" s="7" t="s">
        <v>851</v>
      </c>
      <c r="P460" s="11">
        <v>45434</v>
      </c>
    </row>
    <row r="461" spans="1:16" ht="16.5" x14ac:dyDescent="0.4">
      <c r="A461" s="4" t="s">
        <v>93</v>
      </c>
      <c r="B461" s="70" t="s">
        <v>104</v>
      </c>
      <c r="C461" s="4" t="s">
        <v>133</v>
      </c>
      <c r="D461" s="4">
        <v>177</v>
      </c>
      <c r="E461" s="4">
        <v>121</v>
      </c>
      <c r="F461" s="5">
        <v>28097</v>
      </c>
      <c r="G461" s="5">
        <v>115970</v>
      </c>
      <c r="H461" s="6">
        <v>-87873</v>
      </c>
      <c r="I461" s="4" t="s">
        <v>101</v>
      </c>
      <c r="J461" s="5">
        <v>2541686</v>
      </c>
      <c r="K461" s="5">
        <v>28097</v>
      </c>
      <c r="L461" s="5">
        <v>5751459</v>
      </c>
      <c r="M461" s="5">
        <v>32812</v>
      </c>
      <c r="N461" s="7" t="s">
        <v>307</v>
      </c>
      <c r="O461" s="7" t="s">
        <v>852</v>
      </c>
      <c r="P461" s="11">
        <v>45435</v>
      </c>
    </row>
    <row r="462" spans="1:16" ht="16.5" x14ac:dyDescent="0.4">
      <c r="A462" s="4" t="s">
        <v>93</v>
      </c>
      <c r="B462" s="70" t="s">
        <v>105</v>
      </c>
      <c r="C462" s="4" t="s">
        <v>111</v>
      </c>
      <c r="D462" s="4">
        <v>164</v>
      </c>
      <c r="E462" s="4">
        <v>108</v>
      </c>
      <c r="F462" s="5">
        <v>22289</v>
      </c>
      <c r="G462" s="5">
        <v>93717</v>
      </c>
      <c r="H462" s="6">
        <v>-71428</v>
      </c>
      <c r="I462" s="4" t="s">
        <v>101</v>
      </c>
      <c r="J462" s="5">
        <v>4654877</v>
      </c>
      <c r="K462" s="5">
        <v>22289</v>
      </c>
      <c r="L462" s="5">
        <v>6085966</v>
      </c>
      <c r="M462" s="5">
        <v>22568</v>
      </c>
      <c r="N462" s="7" t="s">
        <v>442</v>
      </c>
      <c r="O462" s="7" t="s">
        <v>853</v>
      </c>
      <c r="P462" s="11">
        <v>45435</v>
      </c>
    </row>
    <row r="463" spans="1:16" ht="16.5" x14ac:dyDescent="0.4">
      <c r="A463" s="4" t="s">
        <v>92</v>
      </c>
      <c r="B463" s="70" t="s">
        <v>104</v>
      </c>
      <c r="C463" s="4" t="s">
        <v>158</v>
      </c>
      <c r="D463" s="4">
        <v>172</v>
      </c>
      <c r="E463" s="4">
        <v>109</v>
      </c>
      <c r="F463" s="5">
        <v>30964</v>
      </c>
      <c r="G463" s="5">
        <v>115970</v>
      </c>
      <c r="H463" s="6">
        <v>-85006</v>
      </c>
      <c r="I463" s="4" t="s">
        <v>101</v>
      </c>
      <c r="J463" s="5">
        <v>1757907</v>
      </c>
      <c r="K463" s="5">
        <v>30964</v>
      </c>
      <c r="L463" s="5">
        <v>4498075</v>
      </c>
      <c r="M463" s="5">
        <v>33666</v>
      </c>
      <c r="N463" s="7" t="s">
        <v>854</v>
      </c>
      <c r="O463" s="7" t="s">
        <v>855</v>
      </c>
      <c r="P463" s="11">
        <v>45435</v>
      </c>
    </row>
    <row r="464" spans="1:16" ht="16.5" x14ac:dyDescent="0.4">
      <c r="A464" s="4" t="s">
        <v>92</v>
      </c>
      <c r="B464" s="70" t="s">
        <v>105</v>
      </c>
      <c r="C464" s="4" t="s">
        <v>110</v>
      </c>
      <c r="D464" s="4">
        <v>191</v>
      </c>
      <c r="E464" s="4">
        <v>147</v>
      </c>
      <c r="F464" s="5">
        <v>34700</v>
      </c>
      <c r="G464" s="5">
        <v>93717</v>
      </c>
      <c r="H464" s="6">
        <v>-59017</v>
      </c>
      <c r="I464" s="4" t="s">
        <v>101</v>
      </c>
      <c r="J464" s="5">
        <v>3779891</v>
      </c>
      <c r="K464" s="5">
        <v>34700</v>
      </c>
      <c r="L464" s="5">
        <v>6690077</v>
      </c>
      <c r="M464" s="5">
        <v>37056</v>
      </c>
      <c r="N464" s="7" t="s">
        <v>167</v>
      </c>
      <c r="O464" s="7" t="s">
        <v>856</v>
      </c>
      <c r="P464" s="11">
        <v>45435</v>
      </c>
    </row>
    <row r="465" spans="1:16" ht="16.5" x14ac:dyDescent="0.4">
      <c r="A465" s="4" t="s">
        <v>93</v>
      </c>
      <c r="B465" s="70" t="s">
        <v>104</v>
      </c>
      <c r="C465" s="4" t="s">
        <v>111</v>
      </c>
      <c r="D465" s="4">
        <v>174</v>
      </c>
      <c r="E465" s="4">
        <v>119</v>
      </c>
      <c r="F465" s="5">
        <v>31294</v>
      </c>
      <c r="G465" s="5">
        <v>115970</v>
      </c>
      <c r="H465" s="6">
        <v>-84676</v>
      </c>
      <c r="I465" s="4" t="s">
        <v>101</v>
      </c>
      <c r="J465" s="5">
        <v>2174637</v>
      </c>
      <c r="K465" s="5">
        <v>31294</v>
      </c>
      <c r="L465" s="5">
        <v>6164352</v>
      </c>
      <c r="M465" s="5">
        <v>35479</v>
      </c>
      <c r="N465" s="7" t="s">
        <v>857</v>
      </c>
      <c r="O465" s="7" t="s">
        <v>858</v>
      </c>
      <c r="P465" s="11">
        <v>45436</v>
      </c>
    </row>
    <row r="466" spans="1:16" ht="16.5" x14ac:dyDescent="0.4">
      <c r="A466" s="4" t="s">
        <v>93</v>
      </c>
      <c r="B466" s="70" t="s">
        <v>105</v>
      </c>
      <c r="C466" s="4" t="s">
        <v>133</v>
      </c>
      <c r="D466" s="4">
        <v>190</v>
      </c>
      <c r="E466" s="4">
        <v>142</v>
      </c>
      <c r="F466" s="5">
        <v>21513</v>
      </c>
      <c r="G466" s="5">
        <v>93717</v>
      </c>
      <c r="H466" s="6">
        <v>-72204</v>
      </c>
      <c r="I466" s="4" t="s">
        <v>101</v>
      </c>
      <c r="J466" s="5">
        <v>1343909</v>
      </c>
      <c r="K466" s="5">
        <v>21513</v>
      </c>
      <c r="L466" s="5">
        <v>3812205</v>
      </c>
      <c r="M466" s="5">
        <v>23986</v>
      </c>
      <c r="N466" s="7" t="s">
        <v>135</v>
      </c>
      <c r="O466" s="7" t="s">
        <v>859</v>
      </c>
      <c r="P466" s="11">
        <v>45436</v>
      </c>
    </row>
    <row r="467" spans="1:16" ht="16.5" x14ac:dyDescent="0.4">
      <c r="A467" s="4" t="s">
        <v>92</v>
      </c>
      <c r="B467" s="70" t="s">
        <v>178</v>
      </c>
      <c r="C467" s="4" t="s">
        <v>110</v>
      </c>
      <c r="D467" s="4">
        <v>273</v>
      </c>
      <c r="E467" s="4">
        <v>209</v>
      </c>
      <c r="F467" s="5">
        <v>62218</v>
      </c>
      <c r="G467" s="5">
        <v>209686</v>
      </c>
      <c r="H467" s="6">
        <v>-147468</v>
      </c>
      <c r="I467" s="4" t="s">
        <v>101</v>
      </c>
      <c r="J467" s="5">
        <v>4209591</v>
      </c>
      <c r="K467" s="5">
        <v>62218</v>
      </c>
      <c r="L467" s="5">
        <v>10654838</v>
      </c>
      <c r="M467" s="5">
        <v>67913</v>
      </c>
      <c r="N467" s="7" t="s">
        <v>112</v>
      </c>
      <c r="O467" s="7" t="s">
        <v>860</v>
      </c>
      <c r="P467" s="11">
        <v>45436</v>
      </c>
    </row>
    <row r="468" spans="1:16" ht="16.5" x14ac:dyDescent="0.4">
      <c r="A468" s="4" t="s">
        <v>93</v>
      </c>
      <c r="B468" s="70" t="s">
        <v>104</v>
      </c>
      <c r="C468" s="4" t="s">
        <v>111</v>
      </c>
      <c r="D468" s="4">
        <v>159</v>
      </c>
      <c r="E468" s="4">
        <v>127</v>
      </c>
      <c r="F468" s="5">
        <v>36058</v>
      </c>
      <c r="G468" s="5">
        <v>115970</v>
      </c>
      <c r="H468" s="6">
        <v>-79912</v>
      </c>
      <c r="I468" s="4" t="s">
        <v>101</v>
      </c>
      <c r="J468" s="5">
        <v>4045576</v>
      </c>
      <c r="K468" s="5">
        <v>36058</v>
      </c>
      <c r="L468" s="5">
        <v>9422433</v>
      </c>
      <c r="M468" s="5">
        <v>38854</v>
      </c>
      <c r="N468" s="7" t="s">
        <v>424</v>
      </c>
      <c r="O468" s="7" t="s">
        <v>861</v>
      </c>
      <c r="P468" s="11">
        <v>45437</v>
      </c>
    </row>
    <row r="469" spans="1:16" ht="16.5" x14ac:dyDescent="0.4">
      <c r="A469" s="4" t="s">
        <v>93</v>
      </c>
      <c r="B469" s="70" t="s">
        <v>105</v>
      </c>
      <c r="C469" s="4" t="s">
        <v>122</v>
      </c>
      <c r="D469" s="4">
        <v>225</v>
      </c>
      <c r="E469" s="4">
        <v>102</v>
      </c>
      <c r="F469" s="5">
        <v>25418</v>
      </c>
      <c r="G469" s="5">
        <v>93717</v>
      </c>
      <c r="H469" s="6">
        <v>-68299</v>
      </c>
      <c r="I469" s="4" t="s">
        <v>101</v>
      </c>
      <c r="J469" s="5">
        <v>3026143</v>
      </c>
      <c r="K469" s="5">
        <v>25418</v>
      </c>
      <c r="L469" s="5">
        <v>7160222</v>
      </c>
      <c r="M469" s="5">
        <v>27065</v>
      </c>
      <c r="N469" s="7" t="s">
        <v>561</v>
      </c>
      <c r="O469" s="7" t="s">
        <v>862</v>
      </c>
      <c r="P469" s="11">
        <v>45437</v>
      </c>
    </row>
    <row r="470" spans="1:16" ht="16.5" x14ac:dyDescent="0.4">
      <c r="A470" s="4" t="s">
        <v>92</v>
      </c>
      <c r="B470" s="70" t="s">
        <v>178</v>
      </c>
      <c r="C470" s="4" t="s">
        <v>158</v>
      </c>
      <c r="D470" s="4">
        <v>206</v>
      </c>
      <c r="E470" s="4">
        <v>115</v>
      </c>
      <c r="F470" s="5">
        <v>51801</v>
      </c>
      <c r="G470" s="5">
        <v>209686</v>
      </c>
      <c r="H470" s="6">
        <v>-157885</v>
      </c>
      <c r="I470" s="4" t="s">
        <v>101</v>
      </c>
      <c r="J470" s="5">
        <v>4489917</v>
      </c>
      <c r="K470" s="5">
        <v>51801</v>
      </c>
      <c r="L470" s="5">
        <v>7403788</v>
      </c>
      <c r="M470" s="5">
        <v>55132</v>
      </c>
      <c r="N470" s="7" t="s">
        <v>342</v>
      </c>
      <c r="O470" s="7" t="s">
        <v>863</v>
      </c>
      <c r="P470" s="11">
        <v>45437</v>
      </c>
    </row>
    <row r="471" spans="1:16" ht="16.5" x14ac:dyDescent="0.4">
      <c r="A471" s="4" t="s">
        <v>93</v>
      </c>
      <c r="B471" s="70" t="s">
        <v>178</v>
      </c>
      <c r="C471" s="4" t="s">
        <v>133</v>
      </c>
      <c r="D471" s="4">
        <v>229</v>
      </c>
      <c r="E471" s="4">
        <v>146</v>
      </c>
      <c r="F471" s="5">
        <v>39084</v>
      </c>
      <c r="G471" s="5">
        <v>209686</v>
      </c>
      <c r="H471" s="6">
        <v>-170602</v>
      </c>
      <c r="I471" s="4" t="s">
        <v>101</v>
      </c>
      <c r="J471" s="5">
        <v>4233125</v>
      </c>
      <c r="K471" s="5">
        <v>39084</v>
      </c>
      <c r="L471" s="5">
        <v>8867989</v>
      </c>
      <c r="M471" s="5">
        <v>40734</v>
      </c>
      <c r="N471" s="7" t="s">
        <v>167</v>
      </c>
      <c r="O471" s="7" t="s">
        <v>864</v>
      </c>
      <c r="P471" s="11">
        <v>45438</v>
      </c>
    </row>
    <row r="472" spans="1:16" ht="16.5" x14ac:dyDescent="0.4">
      <c r="A472" s="4" t="s">
        <v>92</v>
      </c>
      <c r="B472" s="70" t="s">
        <v>104</v>
      </c>
      <c r="C472" s="4" t="s">
        <v>111</v>
      </c>
      <c r="D472" s="4">
        <v>151</v>
      </c>
      <c r="E472" s="4">
        <v>101</v>
      </c>
      <c r="F472" s="5">
        <v>31051</v>
      </c>
      <c r="G472" s="5">
        <v>115970</v>
      </c>
      <c r="H472" s="6">
        <v>-84919</v>
      </c>
      <c r="I472" s="4" t="s">
        <v>101</v>
      </c>
      <c r="J472" s="5">
        <v>4193195</v>
      </c>
      <c r="K472" s="5">
        <v>31051</v>
      </c>
      <c r="L472" s="5">
        <v>7641520</v>
      </c>
      <c r="M472" s="5">
        <v>33211</v>
      </c>
      <c r="N472" s="7" t="s">
        <v>438</v>
      </c>
      <c r="O472" s="7" t="s">
        <v>865</v>
      </c>
      <c r="P472" s="11">
        <v>45438</v>
      </c>
    </row>
    <row r="473" spans="1:16" ht="16.5" x14ac:dyDescent="0.4">
      <c r="A473" s="4" t="s">
        <v>92</v>
      </c>
      <c r="B473" s="70" t="s">
        <v>105</v>
      </c>
      <c r="C473" s="4" t="s">
        <v>158</v>
      </c>
      <c r="D473" s="4">
        <v>184</v>
      </c>
      <c r="E473" s="4">
        <v>102</v>
      </c>
      <c r="F473" s="5">
        <v>21507</v>
      </c>
      <c r="G473" s="5">
        <v>93717</v>
      </c>
      <c r="H473" s="6">
        <v>-72210</v>
      </c>
      <c r="I473" s="4" t="s">
        <v>101</v>
      </c>
      <c r="J473" s="5">
        <v>1847890</v>
      </c>
      <c r="K473" s="5">
        <v>21507</v>
      </c>
      <c r="L473" s="5">
        <v>3839230</v>
      </c>
      <c r="M473" s="5">
        <v>23631</v>
      </c>
      <c r="N473" s="7" t="s">
        <v>128</v>
      </c>
      <c r="O473" s="7" t="s">
        <v>866</v>
      </c>
      <c r="P473" s="11">
        <v>45438</v>
      </c>
    </row>
    <row r="474" spans="1:16" ht="16.5" x14ac:dyDescent="0.4">
      <c r="A474" s="4" t="s">
        <v>93</v>
      </c>
      <c r="B474" s="70" t="s">
        <v>104</v>
      </c>
      <c r="C474" s="4" t="s">
        <v>110</v>
      </c>
      <c r="D474" s="4">
        <v>179</v>
      </c>
      <c r="E474" s="4">
        <v>140</v>
      </c>
      <c r="F474" s="5">
        <v>34235</v>
      </c>
      <c r="G474" s="5">
        <v>115970</v>
      </c>
      <c r="H474" s="6">
        <v>-81735</v>
      </c>
      <c r="I474" s="4" t="s">
        <v>101</v>
      </c>
      <c r="J474" s="5">
        <v>3060555</v>
      </c>
      <c r="K474" s="5">
        <v>34235</v>
      </c>
      <c r="L474" s="5">
        <v>7274969</v>
      </c>
      <c r="M474" s="5">
        <v>36715</v>
      </c>
      <c r="N474" s="7" t="s">
        <v>116</v>
      </c>
      <c r="O474" s="7" t="s">
        <v>867</v>
      </c>
      <c r="P474" s="11">
        <v>45439</v>
      </c>
    </row>
    <row r="475" spans="1:16" ht="16.5" x14ac:dyDescent="0.4">
      <c r="A475" s="4" t="s">
        <v>93</v>
      </c>
      <c r="B475" s="70" t="s">
        <v>105</v>
      </c>
      <c r="C475" s="4" t="s">
        <v>133</v>
      </c>
      <c r="D475" s="4">
        <v>213</v>
      </c>
      <c r="E475" s="4">
        <v>136</v>
      </c>
      <c r="F475" s="5">
        <v>29729</v>
      </c>
      <c r="G475" s="5">
        <v>93717</v>
      </c>
      <c r="H475" s="6">
        <v>-63988</v>
      </c>
      <c r="I475" s="4" t="s">
        <v>101</v>
      </c>
      <c r="J475" s="5">
        <v>4682477</v>
      </c>
      <c r="K475" s="5">
        <v>29729</v>
      </c>
      <c r="L475" s="5">
        <v>7737432</v>
      </c>
      <c r="M475" s="5">
        <v>31436</v>
      </c>
      <c r="N475" s="7" t="s">
        <v>389</v>
      </c>
      <c r="O475" s="7" t="s">
        <v>868</v>
      </c>
      <c r="P475" s="11">
        <v>45439</v>
      </c>
    </row>
    <row r="476" spans="1:16" ht="16.5" x14ac:dyDescent="0.4">
      <c r="A476" s="4" t="s">
        <v>92</v>
      </c>
      <c r="B476" s="70" t="s">
        <v>178</v>
      </c>
      <c r="C476" s="4" t="s">
        <v>158</v>
      </c>
      <c r="D476" s="4">
        <v>234</v>
      </c>
      <c r="E476" s="4">
        <v>121</v>
      </c>
      <c r="F476" s="5">
        <v>46355</v>
      </c>
      <c r="G476" s="5">
        <v>209686</v>
      </c>
      <c r="H476" s="6">
        <v>-163331</v>
      </c>
      <c r="I476" s="4" t="s">
        <v>101</v>
      </c>
      <c r="J476" s="5">
        <v>3762753</v>
      </c>
      <c r="K476" s="5">
        <v>46355</v>
      </c>
      <c r="L476" s="5">
        <v>7122396</v>
      </c>
      <c r="M476" s="5">
        <v>49581</v>
      </c>
      <c r="N476" s="7" t="s">
        <v>741</v>
      </c>
      <c r="O476" s="7" t="s">
        <v>869</v>
      </c>
      <c r="P476" s="11">
        <v>45439</v>
      </c>
    </row>
    <row r="477" spans="1:16" ht="16.5" x14ac:dyDescent="0.4">
      <c r="A477" s="4" t="s">
        <v>93</v>
      </c>
      <c r="B477" s="70" t="s">
        <v>104</v>
      </c>
      <c r="C477" s="4" t="s">
        <v>110</v>
      </c>
      <c r="D477" s="4">
        <v>208</v>
      </c>
      <c r="E477" s="4">
        <v>145</v>
      </c>
      <c r="F477" s="5">
        <v>43718</v>
      </c>
      <c r="G477" s="5">
        <v>115970</v>
      </c>
      <c r="H477" s="6">
        <v>-72252</v>
      </c>
      <c r="I477" s="4" t="s">
        <v>101</v>
      </c>
      <c r="J477" s="5">
        <v>2342613</v>
      </c>
      <c r="K477" s="5">
        <v>43718</v>
      </c>
      <c r="L477" s="5">
        <v>8228979</v>
      </c>
      <c r="M477" s="5">
        <v>48331</v>
      </c>
      <c r="N477" s="7" t="s">
        <v>301</v>
      </c>
      <c r="O477" s="7" t="s">
        <v>870</v>
      </c>
      <c r="P477" s="11">
        <v>45440</v>
      </c>
    </row>
    <row r="478" spans="1:16" ht="16.5" x14ac:dyDescent="0.4">
      <c r="A478" s="4" t="s">
        <v>93</v>
      </c>
      <c r="B478" s="70" t="s">
        <v>105</v>
      </c>
      <c r="C478" s="4" t="s">
        <v>111</v>
      </c>
      <c r="D478" s="4">
        <v>167</v>
      </c>
      <c r="E478" s="4">
        <v>110</v>
      </c>
      <c r="F478" s="5">
        <v>24512</v>
      </c>
      <c r="G478" s="5">
        <v>93717</v>
      </c>
      <c r="H478" s="6">
        <v>-69205</v>
      </c>
      <c r="I478" s="4" t="s">
        <v>101</v>
      </c>
      <c r="J478" s="5">
        <v>2134523</v>
      </c>
      <c r="K478" s="5">
        <v>24512</v>
      </c>
      <c r="L478" s="5">
        <v>5529343</v>
      </c>
      <c r="M478" s="5">
        <v>26302</v>
      </c>
      <c r="N478" s="7" t="s">
        <v>342</v>
      </c>
      <c r="O478" s="7" t="s">
        <v>871</v>
      </c>
      <c r="P478" s="11">
        <v>45440</v>
      </c>
    </row>
    <row r="479" spans="1:16" ht="16.5" x14ac:dyDescent="0.4">
      <c r="A479" s="4" t="s">
        <v>92</v>
      </c>
      <c r="B479" s="70" t="s">
        <v>178</v>
      </c>
      <c r="C479" s="4" t="s">
        <v>158</v>
      </c>
      <c r="D479" s="4">
        <v>224</v>
      </c>
      <c r="E479" s="4">
        <v>128</v>
      </c>
      <c r="F479" s="5">
        <v>51836</v>
      </c>
      <c r="G479" s="5">
        <v>209686</v>
      </c>
      <c r="H479" s="6">
        <v>-157850</v>
      </c>
      <c r="I479" s="4" t="s">
        <v>101</v>
      </c>
      <c r="J479" s="5">
        <v>3495189</v>
      </c>
      <c r="K479" s="5">
        <v>51836</v>
      </c>
      <c r="L479" s="5">
        <v>7011456</v>
      </c>
      <c r="M479" s="5">
        <v>55368</v>
      </c>
      <c r="N479" s="7" t="s">
        <v>112</v>
      </c>
      <c r="O479" s="7" t="s">
        <v>872</v>
      </c>
      <c r="P479" s="11">
        <v>45440</v>
      </c>
    </row>
    <row r="480" spans="1:16" ht="16.5" x14ac:dyDescent="0.4">
      <c r="A480" s="4" t="s">
        <v>93</v>
      </c>
      <c r="B480" s="70" t="s">
        <v>178</v>
      </c>
      <c r="C480" s="4" t="s">
        <v>122</v>
      </c>
      <c r="D480" s="4">
        <v>192</v>
      </c>
      <c r="E480" s="4">
        <v>102</v>
      </c>
      <c r="F480" s="5">
        <v>37662</v>
      </c>
      <c r="G480" s="5">
        <v>209686</v>
      </c>
      <c r="H480" s="6">
        <v>-172024</v>
      </c>
      <c r="I480" s="4" t="s">
        <v>101</v>
      </c>
      <c r="J480" s="5">
        <v>3991504</v>
      </c>
      <c r="K480" s="5">
        <v>37662</v>
      </c>
      <c r="L480" s="5">
        <v>8198216</v>
      </c>
      <c r="M480" s="5">
        <v>39333</v>
      </c>
      <c r="N480" s="7" t="s">
        <v>118</v>
      </c>
      <c r="O480" s="7" t="s">
        <v>874</v>
      </c>
      <c r="P480" s="11">
        <v>45441</v>
      </c>
    </row>
    <row r="481" spans="1:16" ht="16.5" x14ac:dyDescent="0.4">
      <c r="A481" s="4" t="s">
        <v>92</v>
      </c>
      <c r="B481" s="70" t="s">
        <v>104</v>
      </c>
      <c r="C481" s="4" t="s">
        <v>133</v>
      </c>
      <c r="D481" s="4">
        <v>198</v>
      </c>
      <c r="E481" s="4">
        <v>127</v>
      </c>
      <c r="F481" s="5">
        <v>36743</v>
      </c>
      <c r="G481" s="5">
        <v>115970</v>
      </c>
      <c r="H481" s="6">
        <v>-79227</v>
      </c>
      <c r="I481" s="4" t="s">
        <v>101</v>
      </c>
      <c r="J481" s="5">
        <v>1629583</v>
      </c>
      <c r="K481" s="5">
        <v>36743</v>
      </c>
      <c r="L481" s="5">
        <v>6459400</v>
      </c>
      <c r="M481" s="5">
        <v>44914</v>
      </c>
      <c r="N481" s="7" t="s">
        <v>339</v>
      </c>
      <c r="O481" s="7" t="s">
        <v>875</v>
      </c>
      <c r="P481" s="11">
        <v>45441</v>
      </c>
    </row>
    <row r="482" spans="1:16" ht="16.5" x14ac:dyDescent="0.4">
      <c r="A482" s="4" t="s">
        <v>92</v>
      </c>
      <c r="B482" s="70" t="s">
        <v>105</v>
      </c>
      <c r="C482" s="4" t="s">
        <v>111</v>
      </c>
      <c r="D482" s="4">
        <v>158</v>
      </c>
      <c r="E482" s="4">
        <v>106</v>
      </c>
      <c r="F482" s="5">
        <v>34030</v>
      </c>
      <c r="G482" s="5">
        <v>93717</v>
      </c>
      <c r="H482" s="6">
        <v>-59687</v>
      </c>
      <c r="I482" s="4" t="s">
        <v>101</v>
      </c>
      <c r="J482" s="5">
        <v>2031307</v>
      </c>
      <c r="K482" s="5">
        <v>34030</v>
      </c>
      <c r="L482" s="5">
        <v>5153331</v>
      </c>
      <c r="M482" s="5">
        <v>38294</v>
      </c>
      <c r="N482" s="7" t="s">
        <v>873</v>
      </c>
      <c r="O482" s="7" t="s">
        <v>876</v>
      </c>
      <c r="P482" s="11">
        <v>45441</v>
      </c>
    </row>
    <row r="483" spans="1:16" ht="16.5" x14ac:dyDescent="0.4">
      <c r="A483" s="4" t="s">
        <v>93</v>
      </c>
      <c r="B483" s="70" t="s">
        <v>104</v>
      </c>
      <c r="C483" s="4" t="s">
        <v>110</v>
      </c>
      <c r="D483" s="4">
        <v>189</v>
      </c>
      <c r="E483" s="4">
        <v>135</v>
      </c>
      <c r="F483" s="5">
        <v>34471</v>
      </c>
      <c r="G483" s="5">
        <v>115970</v>
      </c>
      <c r="H483" s="6">
        <v>-81499</v>
      </c>
      <c r="I483" s="4" t="s">
        <v>101</v>
      </c>
      <c r="J483" s="5">
        <v>3316655</v>
      </c>
      <c r="K483" s="5">
        <v>34471</v>
      </c>
      <c r="L483" s="5">
        <v>8291385</v>
      </c>
      <c r="M483" s="5">
        <v>37666</v>
      </c>
      <c r="N483" s="7" t="s">
        <v>508</v>
      </c>
      <c r="O483" s="7" t="s">
        <v>877</v>
      </c>
      <c r="P483" s="11">
        <v>45442</v>
      </c>
    </row>
    <row r="484" spans="1:16" ht="16.5" x14ac:dyDescent="0.4">
      <c r="A484" s="4" t="s">
        <v>93</v>
      </c>
      <c r="B484" s="70" t="s">
        <v>105</v>
      </c>
      <c r="C484" s="4" t="s">
        <v>122</v>
      </c>
      <c r="D484" s="4">
        <v>181</v>
      </c>
      <c r="E484" s="4">
        <v>102</v>
      </c>
      <c r="F484" s="5">
        <v>21968</v>
      </c>
      <c r="G484" s="5">
        <v>93717</v>
      </c>
      <c r="H484" s="6">
        <v>-71749</v>
      </c>
      <c r="I484" s="4" t="s">
        <v>101</v>
      </c>
      <c r="J484" s="5">
        <v>2676906</v>
      </c>
      <c r="K484" s="5">
        <v>21968</v>
      </c>
      <c r="L484" s="5">
        <v>5061885</v>
      </c>
      <c r="M484" s="5">
        <v>23484</v>
      </c>
      <c r="N484" s="7" t="s">
        <v>556</v>
      </c>
      <c r="O484" s="7" t="s">
        <v>878</v>
      </c>
      <c r="P484" s="11">
        <v>45442</v>
      </c>
    </row>
    <row r="485" spans="1:16" ht="16.5" x14ac:dyDescent="0.4">
      <c r="A485" s="4" t="s">
        <v>92</v>
      </c>
      <c r="B485" s="70" t="s">
        <v>104</v>
      </c>
      <c r="C485" s="4" t="s">
        <v>111</v>
      </c>
      <c r="D485" s="4">
        <v>160</v>
      </c>
      <c r="E485" s="4">
        <v>115</v>
      </c>
      <c r="F485" s="5">
        <v>42040</v>
      </c>
      <c r="G485" s="5">
        <v>115970</v>
      </c>
      <c r="H485" s="6">
        <v>-73930</v>
      </c>
      <c r="I485" s="4" t="s">
        <v>101</v>
      </c>
      <c r="J485" s="5">
        <v>5086265</v>
      </c>
      <c r="K485" s="5">
        <v>42040</v>
      </c>
      <c r="L485" s="5">
        <v>7634198</v>
      </c>
      <c r="M485" s="5">
        <v>45663</v>
      </c>
      <c r="N485" s="7" t="s">
        <v>166</v>
      </c>
      <c r="O485" s="7" t="s">
        <v>879</v>
      </c>
      <c r="P485" s="11">
        <v>45442</v>
      </c>
    </row>
    <row r="486" spans="1:16" ht="16.5" x14ac:dyDescent="0.4">
      <c r="A486" s="4" t="s">
        <v>92</v>
      </c>
      <c r="B486" s="70" t="s">
        <v>105</v>
      </c>
      <c r="C486" s="4" t="s">
        <v>133</v>
      </c>
      <c r="D486" s="4">
        <v>184</v>
      </c>
      <c r="E486" s="4">
        <v>138</v>
      </c>
      <c r="F486" s="5">
        <v>33127</v>
      </c>
      <c r="G486" s="5">
        <v>93717</v>
      </c>
      <c r="H486" s="6">
        <v>-60590</v>
      </c>
      <c r="I486" s="4" t="s">
        <v>101</v>
      </c>
      <c r="J486" s="5">
        <v>3694192</v>
      </c>
      <c r="K486" s="5">
        <v>33127</v>
      </c>
      <c r="L486" s="5">
        <v>6472576</v>
      </c>
      <c r="M486" s="5">
        <v>38574</v>
      </c>
      <c r="N486" s="7" t="s">
        <v>296</v>
      </c>
      <c r="O486" s="7" t="s">
        <v>880</v>
      </c>
      <c r="P486" s="11">
        <v>45442</v>
      </c>
    </row>
    <row r="487" spans="1:16" ht="16.5" x14ac:dyDescent="0.4">
      <c r="A487" s="4" t="s">
        <v>93</v>
      </c>
      <c r="B487" s="70" t="s">
        <v>178</v>
      </c>
      <c r="C487" s="4" t="s">
        <v>110</v>
      </c>
      <c r="D487" s="4">
        <v>317</v>
      </c>
      <c r="E487" s="4">
        <v>185</v>
      </c>
      <c r="F487" s="5">
        <v>47951</v>
      </c>
      <c r="G487" s="5">
        <v>209686</v>
      </c>
      <c r="H487" s="6">
        <v>-161735</v>
      </c>
      <c r="I487" s="4" t="s">
        <v>101</v>
      </c>
      <c r="J487" s="5">
        <v>3954569</v>
      </c>
      <c r="K487" s="5">
        <v>47951</v>
      </c>
      <c r="L487" s="5">
        <v>9787779</v>
      </c>
      <c r="M487" s="5">
        <v>51889</v>
      </c>
      <c r="N487" s="7" t="s">
        <v>409</v>
      </c>
      <c r="O487" s="7" t="s">
        <v>881</v>
      </c>
      <c r="P487" s="11">
        <v>45443</v>
      </c>
    </row>
    <row r="488" spans="1:16" ht="16.5" x14ac:dyDescent="0.4">
      <c r="A488" s="4" t="s">
        <v>92</v>
      </c>
      <c r="B488" s="70" t="s">
        <v>104</v>
      </c>
      <c r="C488" s="4" t="s">
        <v>122</v>
      </c>
      <c r="D488" s="4">
        <v>202</v>
      </c>
      <c r="E488" s="4">
        <v>105</v>
      </c>
      <c r="F488" s="5">
        <v>37444</v>
      </c>
      <c r="G488" s="5">
        <v>115970</v>
      </c>
      <c r="H488" s="6">
        <v>-78526</v>
      </c>
      <c r="I488" s="4" t="s">
        <v>101</v>
      </c>
      <c r="J488" s="5">
        <v>3087554</v>
      </c>
      <c r="K488" s="5">
        <v>37444</v>
      </c>
      <c r="L488" s="5">
        <v>7672955</v>
      </c>
      <c r="M488" s="5">
        <v>41913</v>
      </c>
      <c r="N488" s="7" t="s">
        <v>409</v>
      </c>
      <c r="O488" s="7" t="s">
        <v>882</v>
      </c>
      <c r="P488" s="11">
        <v>45443</v>
      </c>
    </row>
    <row r="489" spans="1:16" ht="16.5" x14ac:dyDescent="0.4">
      <c r="A489" s="4" t="s">
        <v>92</v>
      </c>
      <c r="B489" s="70" t="s">
        <v>105</v>
      </c>
      <c r="C489" s="4" t="s">
        <v>133</v>
      </c>
      <c r="D489" s="4">
        <v>230</v>
      </c>
      <c r="E489" s="4">
        <v>136</v>
      </c>
      <c r="F489" s="5">
        <v>25247</v>
      </c>
      <c r="G489" s="5">
        <v>93717</v>
      </c>
      <c r="H489" s="6">
        <v>-68470</v>
      </c>
      <c r="I489" s="4" t="s">
        <v>101</v>
      </c>
      <c r="J489" s="5">
        <v>2173016</v>
      </c>
      <c r="K489" s="5">
        <v>25247</v>
      </c>
      <c r="L489" s="5">
        <v>5397506</v>
      </c>
      <c r="M489" s="5">
        <v>29504</v>
      </c>
      <c r="N489" s="7" t="s">
        <v>128</v>
      </c>
      <c r="O489" s="7" t="s">
        <v>883</v>
      </c>
      <c r="P489" s="11">
        <v>45443</v>
      </c>
    </row>
    <row r="490" spans="1:16" ht="16.5" x14ac:dyDescent="0.4">
      <c r="A490" s="4" t="s">
        <v>93</v>
      </c>
      <c r="B490" s="70" t="s">
        <v>178</v>
      </c>
      <c r="C490" s="4" t="s">
        <v>111</v>
      </c>
      <c r="D490" s="4">
        <v>191</v>
      </c>
      <c r="E490" s="4">
        <v>109</v>
      </c>
      <c r="F490" s="5">
        <v>29803</v>
      </c>
      <c r="G490" s="5">
        <v>209686</v>
      </c>
      <c r="H490" s="6">
        <v>-179883</v>
      </c>
      <c r="I490" s="4" t="s">
        <v>101</v>
      </c>
      <c r="J490" s="5">
        <v>4437740</v>
      </c>
      <c r="K490" s="5">
        <v>29803</v>
      </c>
      <c r="L490" s="5">
        <v>7400424</v>
      </c>
      <c r="M490" s="5">
        <v>31029</v>
      </c>
      <c r="N490" s="7" t="s">
        <v>299</v>
      </c>
      <c r="O490" s="7" t="s">
        <v>884</v>
      </c>
      <c r="P490" s="11">
        <v>45444</v>
      </c>
    </row>
    <row r="491" spans="1:16" ht="16.5" x14ac:dyDescent="0.4">
      <c r="A491" s="4" t="s">
        <v>92</v>
      </c>
      <c r="B491" s="70" t="s">
        <v>104</v>
      </c>
      <c r="C491" s="4" t="s">
        <v>133</v>
      </c>
      <c r="D491" s="4">
        <v>260</v>
      </c>
      <c r="E491" s="4">
        <v>139</v>
      </c>
      <c r="F491" s="5">
        <v>40821</v>
      </c>
      <c r="G491" s="5">
        <v>115970</v>
      </c>
      <c r="H491" s="6">
        <v>-75149</v>
      </c>
      <c r="I491" s="4" t="s">
        <v>101</v>
      </c>
      <c r="J491" s="5">
        <v>4804433</v>
      </c>
      <c r="K491" s="5">
        <v>40821</v>
      </c>
      <c r="L491" s="5">
        <v>8762772</v>
      </c>
      <c r="M491" s="5">
        <v>45289</v>
      </c>
      <c r="N491" s="7" t="s">
        <v>364</v>
      </c>
      <c r="O491" s="7" t="s">
        <v>885</v>
      </c>
      <c r="P491" s="11">
        <v>45444</v>
      </c>
    </row>
    <row r="492" spans="1:16" ht="16.5" x14ac:dyDescent="0.4">
      <c r="A492" s="4" t="s">
        <v>92</v>
      </c>
      <c r="B492" s="70" t="s">
        <v>105</v>
      </c>
      <c r="C492" s="4" t="s">
        <v>122</v>
      </c>
      <c r="D492" s="4">
        <v>161</v>
      </c>
      <c r="E492" s="4">
        <v>102</v>
      </c>
      <c r="F492" s="5">
        <v>25702</v>
      </c>
      <c r="G492" s="5">
        <v>93717</v>
      </c>
      <c r="H492" s="6">
        <v>-68015</v>
      </c>
      <c r="I492" s="4" t="s">
        <v>101</v>
      </c>
      <c r="J492" s="5">
        <v>4635941</v>
      </c>
      <c r="K492" s="5">
        <v>25702</v>
      </c>
      <c r="L492" s="5">
        <v>6812292</v>
      </c>
      <c r="M492" s="5">
        <v>27894</v>
      </c>
      <c r="N492" s="7" t="s">
        <v>458</v>
      </c>
      <c r="O492" s="7" t="s">
        <v>886</v>
      </c>
      <c r="P492" s="11">
        <v>45444</v>
      </c>
    </row>
    <row r="493" spans="1:16" ht="16.5" x14ac:dyDescent="0.4">
      <c r="A493" s="4" t="s">
        <v>93</v>
      </c>
      <c r="B493" s="70" t="s">
        <v>178</v>
      </c>
      <c r="C493" s="4" t="s">
        <v>110</v>
      </c>
      <c r="D493" s="4">
        <v>301</v>
      </c>
      <c r="E493" s="4">
        <v>162</v>
      </c>
      <c r="F493" s="5">
        <v>40768</v>
      </c>
      <c r="G493" s="5">
        <v>209686</v>
      </c>
      <c r="H493" s="6">
        <v>-168918</v>
      </c>
      <c r="I493" s="4" t="s">
        <v>101</v>
      </c>
      <c r="J493" s="5">
        <v>5174687</v>
      </c>
      <c r="K493" s="5">
        <v>40768</v>
      </c>
      <c r="L493" s="5">
        <v>9800847</v>
      </c>
      <c r="M493" s="5">
        <v>43225</v>
      </c>
      <c r="N493" s="7" t="s">
        <v>317</v>
      </c>
      <c r="O493" s="7" t="s">
        <v>887</v>
      </c>
      <c r="P493" s="11">
        <v>45445</v>
      </c>
    </row>
    <row r="494" spans="1:16" ht="16.5" x14ac:dyDescent="0.4">
      <c r="A494" s="4" t="s">
        <v>92</v>
      </c>
      <c r="B494" s="70" t="s">
        <v>104</v>
      </c>
      <c r="C494" s="4" t="s">
        <v>122</v>
      </c>
      <c r="D494" s="4">
        <v>243</v>
      </c>
      <c r="E494" s="4">
        <v>102</v>
      </c>
      <c r="F494" s="5">
        <v>32976</v>
      </c>
      <c r="G494" s="5">
        <v>115970</v>
      </c>
      <c r="H494" s="6">
        <v>-82994</v>
      </c>
      <c r="I494" s="4" t="s">
        <v>101</v>
      </c>
      <c r="J494" s="5">
        <v>3796516</v>
      </c>
      <c r="K494" s="5">
        <v>32976</v>
      </c>
      <c r="L494" s="5">
        <v>6877879</v>
      </c>
      <c r="M494" s="5">
        <v>37108</v>
      </c>
      <c r="N494" s="7" t="s">
        <v>124</v>
      </c>
      <c r="O494" s="7" t="s">
        <v>888</v>
      </c>
      <c r="P494" s="11">
        <v>45445</v>
      </c>
    </row>
    <row r="495" spans="1:16" ht="16.5" x14ac:dyDescent="0.4">
      <c r="A495" s="4" t="s">
        <v>92</v>
      </c>
      <c r="B495" s="70" t="s">
        <v>105</v>
      </c>
      <c r="C495" s="4" t="s">
        <v>111</v>
      </c>
      <c r="D495" s="4">
        <v>201</v>
      </c>
      <c r="E495" s="4">
        <v>109</v>
      </c>
      <c r="F495" s="5">
        <v>26207</v>
      </c>
      <c r="G495" s="5">
        <v>93717</v>
      </c>
      <c r="H495" s="6">
        <v>-67510</v>
      </c>
      <c r="I495" s="4" t="s">
        <v>101</v>
      </c>
      <c r="J495" s="5">
        <v>3892111</v>
      </c>
      <c r="K495" s="5">
        <v>26207</v>
      </c>
      <c r="L495" s="5">
        <v>5266165</v>
      </c>
      <c r="M495" s="5">
        <v>27795</v>
      </c>
      <c r="N495" s="7" t="s">
        <v>299</v>
      </c>
      <c r="O495" s="7" t="s">
        <v>889</v>
      </c>
      <c r="P495" s="11">
        <v>45445</v>
      </c>
    </row>
    <row r="496" spans="1:16" ht="16.5" x14ac:dyDescent="0.4">
      <c r="A496" s="4" t="s">
        <v>93</v>
      </c>
      <c r="B496" s="70" t="s">
        <v>178</v>
      </c>
      <c r="C496" s="4" t="s">
        <v>110</v>
      </c>
      <c r="D496" s="4">
        <v>348</v>
      </c>
      <c r="E496" s="4">
        <v>187</v>
      </c>
      <c r="F496" s="5">
        <v>47181</v>
      </c>
      <c r="G496" s="5">
        <v>209686</v>
      </c>
      <c r="H496" s="6">
        <v>-162505</v>
      </c>
      <c r="I496" s="4" t="s">
        <v>101</v>
      </c>
      <c r="J496" s="5">
        <v>4999544</v>
      </c>
      <c r="K496" s="5">
        <v>47181</v>
      </c>
      <c r="L496" s="5">
        <v>11088069</v>
      </c>
      <c r="M496" s="5">
        <v>49895</v>
      </c>
      <c r="N496" s="7" t="s">
        <v>118</v>
      </c>
      <c r="O496" s="7" t="s">
        <v>897</v>
      </c>
      <c r="P496" s="11">
        <v>45446</v>
      </c>
    </row>
    <row r="497" spans="1:16" ht="16.5" x14ac:dyDescent="0.4">
      <c r="A497" s="4" t="s">
        <v>92</v>
      </c>
      <c r="B497" s="70" t="s">
        <v>178</v>
      </c>
      <c r="C497" s="4" t="s">
        <v>158</v>
      </c>
      <c r="D497" s="4">
        <v>341</v>
      </c>
      <c r="E497" s="4">
        <v>116</v>
      </c>
      <c r="F497" s="5">
        <v>50031</v>
      </c>
      <c r="G497" s="5">
        <v>209686</v>
      </c>
      <c r="H497" s="6">
        <v>-159655</v>
      </c>
      <c r="I497" s="4" t="s">
        <v>101</v>
      </c>
      <c r="J497" s="5">
        <v>3407468</v>
      </c>
      <c r="K497" s="5">
        <v>50031</v>
      </c>
      <c r="L497" s="5">
        <v>7268358</v>
      </c>
      <c r="M497" s="5">
        <v>54273</v>
      </c>
      <c r="N497" s="7" t="s">
        <v>119</v>
      </c>
      <c r="O497" s="7" t="s">
        <v>898</v>
      </c>
      <c r="P497" s="11">
        <v>45446</v>
      </c>
    </row>
    <row r="498" spans="1:16" ht="16.5" x14ac:dyDescent="0.4">
      <c r="A498" s="4" t="s">
        <v>93</v>
      </c>
      <c r="B498" s="70" t="s">
        <v>104</v>
      </c>
      <c r="C498" s="4" t="s">
        <v>133</v>
      </c>
      <c r="D498" s="4">
        <v>229</v>
      </c>
      <c r="E498" s="4">
        <v>124</v>
      </c>
      <c r="F498" s="5">
        <v>28429</v>
      </c>
      <c r="G498" s="5">
        <v>115970</v>
      </c>
      <c r="H498" s="6">
        <v>-87541</v>
      </c>
      <c r="I498" s="4" t="s">
        <v>101</v>
      </c>
      <c r="J498" s="5">
        <v>3622066</v>
      </c>
      <c r="K498" s="5">
        <v>28429</v>
      </c>
      <c r="L498" s="5">
        <v>7589665</v>
      </c>
      <c r="M498" s="5">
        <v>30642</v>
      </c>
      <c r="N498" s="7" t="s">
        <v>410</v>
      </c>
      <c r="O498" s="7" t="s">
        <v>899</v>
      </c>
      <c r="P498" s="11">
        <v>45447</v>
      </c>
    </row>
    <row r="499" spans="1:16" ht="16.5" x14ac:dyDescent="0.4">
      <c r="A499" s="4" t="s">
        <v>93</v>
      </c>
      <c r="B499" s="70" t="s">
        <v>105</v>
      </c>
      <c r="C499" s="4" t="s">
        <v>110</v>
      </c>
      <c r="D499" s="4">
        <v>303</v>
      </c>
      <c r="E499" s="4">
        <v>136</v>
      </c>
      <c r="F499" s="5">
        <v>27613</v>
      </c>
      <c r="G499" s="5">
        <v>93717</v>
      </c>
      <c r="H499" s="6">
        <v>-66104</v>
      </c>
      <c r="I499" s="4" t="s">
        <v>101</v>
      </c>
      <c r="J499" s="5">
        <v>3260398</v>
      </c>
      <c r="K499" s="5">
        <v>27613</v>
      </c>
      <c r="L499" s="5">
        <v>6478604</v>
      </c>
      <c r="M499" s="5">
        <v>29724</v>
      </c>
      <c r="N499" s="7" t="s">
        <v>364</v>
      </c>
      <c r="O499" s="7" t="s">
        <v>900</v>
      </c>
      <c r="P499" s="11">
        <v>45447</v>
      </c>
    </row>
    <row r="500" spans="1:16" ht="16.5" x14ac:dyDescent="0.4">
      <c r="A500" s="4" t="s">
        <v>92</v>
      </c>
      <c r="B500" s="70" t="s">
        <v>104</v>
      </c>
      <c r="C500" s="4" t="s">
        <v>111</v>
      </c>
      <c r="D500" s="4">
        <v>177</v>
      </c>
      <c r="E500" s="4">
        <v>94</v>
      </c>
      <c r="F500" s="5">
        <v>38012</v>
      </c>
      <c r="G500" s="5">
        <v>115970</v>
      </c>
      <c r="H500" s="6">
        <v>-77958</v>
      </c>
      <c r="I500" s="4" t="s">
        <v>101</v>
      </c>
      <c r="J500" s="5">
        <v>5396507</v>
      </c>
      <c r="K500" s="5">
        <v>38012</v>
      </c>
      <c r="L500" s="5">
        <v>8758924</v>
      </c>
      <c r="M500" s="5">
        <v>40571</v>
      </c>
      <c r="N500" s="7" t="s">
        <v>172</v>
      </c>
      <c r="O500" s="7" t="s">
        <v>901</v>
      </c>
      <c r="P500" s="11">
        <v>45447</v>
      </c>
    </row>
    <row r="501" spans="1:16" ht="16.5" x14ac:dyDescent="0.4">
      <c r="A501" s="4" t="s">
        <v>92</v>
      </c>
      <c r="B501" s="70" t="s">
        <v>105</v>
      </c>
      <c r="C501" s="4" t="s">
        <v>158</v>
      </c>
      <c r="D501" s="4">
        <v>250</v>
      </c>
      <c r="E501" s="4">
        <v>101</v>
      </c>
      <c r="F501" s="5">
        <v>28770</v>
      </c>
      <c r="G501" s="5">
        <v>93717</v>
      </c>
      <c r="H501" s="6">
        <v>-64947</v>
      </c>
      <c r="I501" s="4" t="s">
        <v>101</v>
      </c>
      <c r="J501" s="5">
        <v>2143193</v>
      </c>
      <c r="K501" s="5">
        <v>28770</v>
      </c>
      <c r="L501" s="5">
        <v>4154861</v>
      </c>
      <c r="M501" s="5">
        <v>31863</v>
      </c>
      <c r="N501" s="7" t="s">
        <v>332</v>
      </c>
      <c r="O501" s="7" t="s">
        <v>902</v>
      </c>
      <c r="P501" s="11">
        <v>45447</v>
      </c>
    </row>
    <row r="502" spans="1:16" ht="16.5" x14ac:dyDescent="0.4">
      <c r="A502" s="4" t="s">
        <v>93</v>
      </c>
      <c r="B502" s="70" t="s">
        <v>104</v>
      </c>
      <c r="C502" s="4" t="s">
        <v>110</v>
      </c>
      <c r="D502" s="4">
        <v>324</v>
      </c>
      <c r="E502" s="4">
        <v>145</v>
      </c>
      <c r="F502" s="5">
        <v>37443</v>
      </c>
      <c r="G502" s="5">
        <v>115970</v>
      </c>
      <c r="H502" s="6">
        <v>-78527</v>
      </c>
      <c r="I502" s="4" t="s">
        <v>101</v>
      </c>
      <c r="J502" s="5">
        <v>3091667</v>
      </c>
      <c r="K502" s="5">
        <v>37443</v>
      </c>
      <c r="L502" s="5">
        <v>7727599</v>
      </c>
      <c r="M502" s="5">
        <v>41517</v>
      </c>
      <c r="N502" s="7" t="s">
        <v>409</v>
      </c>
      <c r="O502" s="7" t="s">
        <v>903</v>
      </c>
      <c r="P502" s="11">
        <v>45448</v>
      </c>
    </row>
    <row r="503" spans="1:16" ht="16.5" x14ac:dyDescent="0.4">
      <c r="A503" s="4" t="s">
        <v>93</v>
      </c>
      <c r="B503" s="70" t="s">
        <v>105</v>
      </c>
      <c r="C503" s="4" t="s">
        <v>133</v>
      </c>
      <c r="D503" s="4">
        <v>341</v>
      </c>
      <c r="E503" s="4">
        <v>135</v>
      </c>
      <c r="F503" s="5">
        <v>27873</v>
      </c>
      <c r="G503" s="5">
        <v>93717</v>
      </c>
      <c r="H503" s="6">
        <v>-65844</v>
      </c>
      <c r="I503" s="4" t="s">
        <v>101</v>
      </c>
      <c r="J503" s="5">
        <v>2765379</v>
      </c>
      <c r="K503" s="5">
        <v>27873</v>
      </c>
      <c r="L503" s="5">
        <v>7447764</v>
      </c>
      <c r="M503" s="5">
        <v>30479</v>
      </c>
      <c r="N503" s="7" t="s">
        <v>665</v>
      </c>
      <c r="O503" s="7" t="s">
        <v>904</v>
      </c>
      <c r="P503" s="11">
        <v>45448</v>
      </c>
    </row>
    <row r="504" spans="1:16" ht="16.5" x14ac:dyDescent="0.4">
      <c r="A504" s="4" t="s">
        <v>92</v>
      </c>
      <c r="B504" s="70" t="s">
        <v>178</v>
      </c>
      <c r="C504" s="4" t="s">
        <v>111</v>
      </c>
      <c r="D504" s="4">
        <v>307</v>
      </c>
      <c r="E504" s="4">
        <v>133</v>
      </c>
      <c r="F504" s="5">
        <v>60981</v>
      </c>
      <c r="G504" s="5">
        <v>209686</v>
      </c>
      <c r="H504" s="6">
        <v>-148705</v>
      </c>
      <c r="I504" s="4" t="s">
        <v>101</v>
      </c>
      <c r="J504" s="5">
        <v>5145570</v>
      </c>
      <c r="K504" s="5">
        <v>60981</v>
      </c>
      <c r="L504" s="5">
        <v>10297223</v>
      </c>
      <c r="M504" s="5">
        <v>66779</v>
      </c>
      <c r="N504" s="7" t="s">
        <v>473</v>
      </c>
      <c r="O504" s="7" t="s">
        <v>905</v>
      </c>
      <c r="P504" s="11">
        <v>45448</v>
      </c>
    </row>
    <row r="505" spans="1:16" ht="16.5" x14ac:dyDescent="0.4">
      <c r="A505" s="4" t="s">
        <v>93</v>
      </c>
      <c r="B505" s="70" t="s">
        <v>178</v>
      </c>
      <c r="C505" s="4" t="s">
        <v>133</v>
      </c>
      <c r="D505" s="4">
        <v>371</v>
      </c>
      <c r="E505" s="4">
        <v>182</v>
      </c>
      <c r="F505" s="5">
        <v>46595</v>
      </c>
      <c r="G505" s="5">
        <v>209686</v>
      </c>
      <c r="H505" s="6">
        <v>-163091</v>
      </c>
      <c r="I505" s="4" t="s">
        <v>101</v>
      </c>
      <c r="J505" s="5">
        <v>7079827</v>
      </c>
      <c r="K505" s="5">
        <v>46595</v>
      </c>
      <c r="L505" s="5">
        <v>11900397</v>
      </c>
      <c r="M505" s="5">
        <v>50237</v>
      </c>
      <c r="N505" s="7" t="s">
        <v>289</v>
      </c>
      <c r="O505" s="7" t="s">
        <v>906</v>
      </c>
      <c r="P505" s="11">
        <v>45449</v>
      </c>
    </row>
    <row r="506" spans="1:16" ht="16.5" x14ac:dyDescent="0.4">
      <c r="A506" s="4" t="s">
        <v>92</v>
      </c>
      <c r="B506" s="70" t="s">
        <v>178</v>
      </c>
      <c r="C506" s="4" t="s">
        <v>122</v>
      </c>
      <c r="D506" s="4">
        <v>297</v>
      </c>
      <c r="E506" s="4">
        <v>132</v>
      </c>
      <c r="F506" s="5">
        <v>54583</v>
      </c>
      <c r="G506" s="5">
        <v>209686</v>
      </c>
      <c r="H506" s="6">
        <v>-155103</v>
      </c>
      <c r="I506" s="4" t="s">
        <v>101</v>
      </c>
      <c r="J506" s="5">
        <v>7335838</v>
      </c>
      <c r="K506" s="5">
        <v>54583</v>
      </c>
      <c r="L506" s="5">
        <v>13857731</v>
      </c>
      <c r="M506" s="5">
        <v>59948</v>
      </c>
      <c r="N506" s="7" t="s">
        <v>438</v>
      </c>
      <c r="O506" s="7" t="s">
        <v>907</v>
      </c>
      <c r="P506" s="11">
        <v>45449</v>
      </c>
    </row>
    <row r="507" spans="1:16" ht="16.5" x14ac:dyDescent="0.4">
      <c r="A507" s="4" t="s">
        <v>93</v>
      </c>
      <c r="B507" s="70" t="s">
        <v>178</v>
      </c>
      <c r="C507" s="4" t="s">
        <v>133</v>
      </c>
      <c r="D507" s="4">
        <v>338</v>
      </c>
      <c r="E507" s="4">
        <v>174</v>
      </c>
      <c r="F507" s="5">
        <v>40854</v>
      </c>
      <c r="G507" s="5">
        <v>209686</v>
      </c>
      <c r="H507" s="6">
        <v>-168832</v>
      </c>
      <c r="I507" s="4" t="s">
        <v>101</v>
      </c>
      <c r="J507" s="5">
        <v>3666677</v>
      </c>
      <c r="K507" s="5">
        <v>40854</v>
      </c>
      <c r="L507" s="5">
        <v>8058612</v>
      </c>
      <c r="M507" s="5">
        <v>43022</v>
      </c>
      <c r="N507" s="7" t="s">
        <v>307</v>
      </c>
      <c r="O507" s="7" t="s">
        <v>908</v>
      </c>
      <c r="P507" s="11">
        <v>45451</v>
      </c>
    </row>
    <row r="508" spans="1:16" ht="16.5" x14ac:dyDescent="0.4">
      <c r="A508" s="4" t="s">
        <v>92</v>
      </c>
      <c r="B508" s="70" t="s">
        <v>178</v>
      </c>
      <c r="C508" s="4" t="s">
        <v>122</v>
      </c>
      <c r="D508" s="4">
        <v>297</v>
      </c>
      <c r="E508" s="4">
        <v>126</v>
      </c>
      <c r="F508" s="5">
        <v>50415</v>
      </c>
      <c r="G508" s="5">
        <v>209686</v>
      </c>
      <c r="H508" s="6">
        <v>-159271</v>
      </c>
      <c r="I508" s="4" t="s">
        <v>101</v>
      </c>
      <c r="J508" s="5">
        <v>4261133</v>
      </c>
      <c r="K508" s="5">
        <v>50415</v>
      </c>
      <c r="L508" s="5">
        <v>8921288</v>
      </c>
      <c r="M508" s="5">
        <v>52227</v>
      </c>
      <c r="N508" s="7" t="s">
        <v>129</v>
      </c>
      <c r="O508" s="7" t="s">
        <v>909</v>
      </c>
      <c r="P508" s="11">
        <v>45451</v>
      </c>
    </row>
    <row r="509" spans="1:16" ht="16.5" x14ac:dyDescent="0.4">
      <c r="A509" s="4" t="s">
        <v>93</v>
      </c>
      <c r="B509" s="70" t="s">
        <v>178</v>
      </c>
      <c r="C509" s="4" t="s">
        <v>133</v>
      </c>
      <c r="D509" s="4">
        <v>405</v>
      </c>
      <c r="E509" s="4">
        <v>198</v>
      </c>
      <c r="F509" s="5">
        <v>46681</v>
      </c>
      <c r="G509" s="5">
        <v>209686</v>
      </c>
      <c r="H509" s="6">
        <v>-163005</v>
      </c>
      <c r="I509" s="4" t="s">
        <v>101</v>
      </c>
      <c r="J509" s="5">
        <v>4238808</v>
      </c>
      <c r="K509" s="5">
        <v>46681</v>
      </c>
      <c r="L509" s="5">
        <v>9335216</v>
      </c>
      <c r="M509" s="5">
        <v>49743</v>
      </c>
      <c r="N509" s="7" t="s">
        <v>157</v>
      </c>
      <c r="O509" s="7" t="s">
        <v>910</v>
      </c>
      <c r="P509" s="11">
        <v>45452</v>
      </c>
    </row>
    <row r="510" spans="1:16" ht="16.5" x14ac:dyDescent="0.4">
      <c r="A510" s="4" t="s">
        <v>92</v>
      </c>
      <c r="B510" s="70" t="s">
        <v>178</v>
      </c>
      <c r="C510" s="4" t="s">
        <v>122</v>
      </c>
      <c r="D510" s="4">
        <v>322</v>
      </c>
      <c r="E510" s="4">
        <v>110</v>
      </c>
      <c r="F510" s="5">
        <v>43163</v>
      </c>
      <c r="G510" s="5">
        <v>209686</v>
      </c>
      <c r="H510" s="6">
        <v>-166523</v>
      </c>
      <c r="I510" s="4" t="s">
        <v>101</v>
      </c>
      <c r="J510" s="5">
        <v>4258300</v>
      </c>
      <c r="K510" s="5">
        <v>43163</v>
      </c>
      <c r="L510" s="5">
        <v>8811077</v>
      </c>
      <c r="M510" s="5">
        <v>44332</v>
      </c>
      <c r="N510" s="7" t="s">
        <v>665</v>
      </c>
      <c r="O510" s="7" t="s">
        <v>911</v>
      </c>
      <c r="P510" s="11">
        <v>45452</v>
      </c>
    </row>
    <row r="511" spans="1:16" ht="16.5" x14ac:dyDescent="0.4">
      <c r="A511" s="4" t="s">
        <v>93</v>
      </c>
      <c r="B511" s="70" t="s">
        <v>178</v>
      </c>
      <c r="C511" s="4" t="s">
        <v>110</v>
      </c>
      <c r="D511" s="4">
        <v>374</v>
      </c>
      <c r="E511" s="4">
        <v>180</v>
      </c>
      <c r="F511" s="5">
        <v>38860</v>
      </c>
      <c r="G511" s="5">
        <v>209686</v>
      </c>
      <c r="H511" s="6">
        <v>-170826</v>
      </c>
      <c r="I511" s="4" t="s">
        <v>101</v>
      </c>
      <c r="J511" s="5">
        <v>6875588</v>
      </c>
      <c r="K511" s="5">
        <v>38860</v>
      </c>
      <c r="L511" s="5">
        <v>12117824</v>
      </c>
      <c r="M511" s="5">
        <v>41785</v>
      </c>
      <c r="N511" s="7" t="s">
        <v>447</v>
      </c>
      <c r="O511" s="7" t="s">
        <v>912</v>
      </c>
      <c r="P511" s="11">
        <v>45453</v>
      </c>
    </row>
    <row r="512" spans="1:16" ht="16.5" x14ac:dyDescent="0.4">
      <c r="A512" s="4" t="s">
        <v>92</v>
      </c>
      <c r="B512" s="70" t="s">
        <v>178</v>
      </c>
      <c r="C512" s="4" t="s">
        <v>111</v>
      </c>
      <c r="D512" s="4">
        <v>243</v>
      </c>
      <c r="E512" s="4">
        <v>122</v>
      </c>
      <c r="F512" s="5">
        <v>47611</v>
      </c>
      <c r="G512" s="5">
        <v>209686</v>
      </c>
      <c r="H512" s="6">
        <v>-162075</v>
      </c>
      <c r="I512" s="4" t="s">
        <v>101</v>
      </c>
      <c r="J512" s="5">
        <v>7135253</v>
      </c>
      <c r="K512" s="5">
        <v>47611</v>
      </c>
      <c r="L512" s="5">
        <v>12753625</v>
      </c>
      <c r="M512" s="5">
        <v>51604</v>
      </c>
      <c r="N512" s="7" t="s">
        <v>299</v>
      </c>
      <c r="O512" s="7" t="s">
        <v>913</v>
      </c>
      <c r="P512" s="11">
        <v>45453</v>
      </c>
    </row>
    <row r="513" spans="1:16" ht="16.5" x14ac:dyDescent="0.4">
      <c r="A513" s="4" t="s">
        <v>93</v>
      </c>
      <c r="B513" s="70" t="s">
        <v>178</v>
      </c>
      <c r="C513" s="4" t="s">
        <v>110</v>
      </c>
      <c r="D513" s="4">
        <v>438</v>
      </c>
      <c r="E513" s="4">
        <v>169</v>
      </c>
      <c r="F513" s="5">
        <v>44916</v>
      </c>
      <c r="G513" s="5">
        <v>209686</v>
      </c>
      <c r="H513" s="6">
        <v>-164770</v>
      </c>
      <c r="I513" s="4" t="s">
        <v>101</v>
      </c>
      <c r="J513" s="5">
        <v>7312645</v>
      </c>
      <c r="K513" s="5">
        <v>44916</v>
      </c>
      <c r="L513" s="5">
        <v>12145586</v>
      </c>
      <c r="M513" s="5">
        <v>47489</v>
      </c>
      <c r="N513" s="7" t="s">
        <v>412</v>
      </c>
      <c r="O513" s="7" t="s">
        <v>914</v>
      </c>
      <c r="P513" s="11">
        <v>45454</v>
      </c>
    </row>
    <row r="514" spans="1:16" ht="16.5" x14ac:dyDescent="0.4">
      <c r="A514" s="4" t="s">
        <v>92</v>
      </c>
      <c r="B514" s="70" t="s">
        <v>178</v>
      </c>
      <c r="C514" s="4" t="s">
        <v>111</v>
      </c>
      <c r="D514" s="4">
        <v>364</v>
      </c>
      <c r="E514" s="4">
        <v>148</v>
      </c>
      <c r="F514" s="5">
        <v>58621</v>
      </c>
      <c r="G514" s="5">
        <v>209686</v>
      </c>
      <c r="H514" s="6">
        <v>-151065</v>
      </c>
      <c r="I514" s="4" t="s">
        <v>101</v>
      </c>
      <c r="J514" s="5">
        <v>7028335</v>
      </c>
      <c r="K514" s="5">
        <v>58621</v>
      </c>
      <c r="L514" s="5">
        <v>13062235</v>
      </c>
      <c r="M514" s="5">
        <v>63954</v>
      </c>
      <c r="N514" s="7" t="s">
        <v>166</v>
      </c>
      <c r="O514" s="7" t="s">
        <v>915</v>
      </c>
      <c r="P514" s="11">
        <v>45454</v>
      </c>
    </row>
    <row r="515" spans="1:16" ht="16.5" x14ac:dyDescent="0.4">
      <c r="A515" s="4" t="s">
        <v>93</v>
      </c>
      <c r="B515" s="70" t="s">
        <v>104</v>
      </c>
      <c r="C515" s="4" t="s">
        <v>122</v>
      </c>
      <c r="D515" s="4">
        <v>269</v>
      </c>
      <c r="E515" s="4">
        <v>102</v>
      </c>
      <c r="F515" s="5">
        <v>27660</v>
      </c>
      <c r="G515" s="5">
        <v>115970</v>
      </c>
      <c r="H515" s="6">
        <v>-88310</v>
      </c>
      <c r="I515" s="4" t="s">
        <v>101</v>
      </c>
      <c r="J515" s="5">
        <v>2395829</v>
      </c>
      <c r="K515" s="5">
        <v>27660</v>
      </c>
      <c r="L515" s="5">
        <v>5623473</v>
      </c>
      <c r="M515" s="5">
        <v>29877</v>
      </c>
      <c r="N515" s="7" t="s">
        <v>342</v>
      </c>
      <c r="O515" s="7" t="s">
        <v>916</v>
      </c>
      <c r="P515" s="11">
        <v>45455</v>
      </c>
    </row>
    <row r="516" spans="1:16" ht="16.5" x14ac:dyDescent="0.4">
      <c r="A516" s="4" t="s">
        <v>93</v>
      </c>
      <c r="B516" s="70" t="s">
        <v>105</v>
      </c>
      <c r="C516" s="4" t="s">
        <v>110</v>
      </c>
      <c r="D516" s="4">
        <v>360</v>
      </c>
      <c r="E516" s="4">
        <v>147</v>
      </c>
      <c r="F516" s="5">
        <v>27135</v>
      </c>
      <c r="G516" s="5">
        <v>93717</v>
      </c>
      <c r="H516" s="6">
        <v>-66582</v>
      </c>
      <c r="I516" s="4" t="s">
        <v>101</v>
      </c>
      <c r="J516" s="5">
        <v>2382052</v>
      </c>
      <c r="K516" s="5">
        <v>27135</v>
      </c>
      <c r="L516" s="5">
        <v>5283835</v>
      </c>
      <c r="M516" s="5">
        <v>29028</v>
      </c>
      <c r="N516" s="7" t="s">
        <v>721</v>
      </c>
      <c r="O516" s="7" t="s">
        <v>917</v>
      </c>
      <c r="P516" s="11">
        <v>45455</v>
      </c>
    </row>
    <row r="517" spans="1:16" ht="16.5" x14ac:dyDescent="0.4">
      <c r="A517" s="4" t="s">
        <v>92</v>
      </c>
      <c r="B517" s="70" t="s">
        <v>178</v>
      </c>
      <c r="C517" s="4" t="s">
        <v>111</v>
      </c>
      <c r="D517" s="4">
        <v>310</v>
      </c>
      <c r="E517" s="4">
        <v>145</v>
      </c>
      <c r="F517" s="5">
        <v>64277</v>
      </c>
      <c r="G517" s="5">
        <v>209686</v>
      </c>
      <c r="H517" s="6">
        <v>-145409</v>
      </c>
      <c r="I517" s="4" t="s">
        <v>101</v>
      </c>
      <c r="J517" s="5">
        <v>4830796</v>
      </c>
      <c r="K517" s="5">
        <v>64277</v>
      </c>
      <c r="L517" s="5">
        <v>10488314</v>
      </c>
      <c r="M517" s="5">
        <v>69656</v>
      </c>
      <c r="N517" s="7" t="s">
        <v>405</v>
      </c>
      <c r="O517" s="7" t="s">
        <v>918</v>
      </c>
      <c r="P517" s="11">
        <v>45455</v>
      </c>
    </row>
    <row r="518" spans="1:16" ht="16.5" x14ac:dyDescent="0.4">
      <c r="A518" s="4" t="s">
        <v>93</v>
      </c>
      <c r="B518" s="70" t="s">
        <v>104</v>
      </c>
      <c r="C518" s="4" t="s">
        <v>110</v>
      </c>
      <c r="D518" s="4">
        <v>310</v>
      </c>
      <c r="E518" s="4">
        <v>138</v>
      </c>
      <c r="F518" s="5">
        <v>39674</v>
      </c>
      <c r="G518" s="5">
        <v>115970</v>
      </c>
      <c r="H518" s="6">
        <v>-76296</v>
      </c>
      <c r="I518" s="4" t="s">
        <v>101</v>
      </c>
      <c r="J518" s="5">
        <v>2669694</v>
      </c>
      <c r="K518" s="5">
        <v>39674</v>
      </c>
      <c r="L518" s="5">
        <v>7538999</v>
      </c>
      <c r="M518" s="5">
        <v>43915</v>
      </c>
      <c r="N518" s="7" t="s">
        <v>850</v>
      </c>
      <c r="O518" s="7" t="s">
        <v>919</v>
      </c>
      <c r="P518" s="11">
        <v>45456</v>
      </c>
    </row>
    <row r="519" spans="1:16" ht="16.5" x14ac:dyDescent="0.4">
      <c r="A519" s="4" t="s">
        <v>93</v>
      </c>
      <c r="B519" s="70" t="s">
        <v>105</v>
      </c>
      <c r="C519" s="4" t="s">
        <v>133</v>
      </c>
      <c r="D519" s="4">
        <v>291</v>
      </c>
      <c r="E519" s="4">
        <v>128</v>
      </c>
      <c r="F519" s="5">
        <v>31714</v>
      </c>
      <c r="G519" s="5">
        <v>93717</v>
      </c>
      <c r="H519" s="6">
        <v>-62003</v>
      </c>
      <c r="I519" s="4" t="s">
        <v>101</v>
      </c>
      <c r="J519" s="5">
        <v>3713286</v>
      </c>
      <c r="K519" s="5">
        <v>31714</v>
      </c>
      <c r="L519" s="5">
        <v>6751185</v>
      </c>
      <c r="M519" s="5">
        <v>33768</v>
      </c>
      <c r="N519" s="7" t="s">
        <v>364</v>
      </c>
      <c r="O519" s="7" t="s">
        <v>920</v>
      </c>
      <c r="P519" s="11">
        <v>45456</v>
      </c>
    </row>
    <row r="520" spans="1:16" ht="16.5" x14ac:dyDescent="0.4">
      <c r="A520" s="4" t="s">
        <v>92</v>
      </c>
      <c r="B520" s="70" t="s">
        <v>178</v>
      </c>
      <c r="C520" s="4" t="s">
        <v>158</v>
      </c>
      <c r="D520" s="4">
        <v>289</v>
      </c>
      <c r="E520" s="4">
        <v>104</v>
      </c>
      <c r="F520" s="5">
        <v>50427</v>
      </c>
      <c r="G520" s="5">
        <v>209686</v>
      </c>
      <c r="H520" s="6">
        <v>-159259</v>
      </c>
      <c r="I520" s="4" t="s">
        <v>101</v>
      </c>
      <c r="J520" s="5">
        <v>3824659</v>
      </c>
      <c r="K520" s="5">
        <v>50427</v>
      </c>
      <c r="L520" s="5">
        <v>6651190</v>
      </c>
      <c r="M520" s="5">
        <v>53288</v>
      </c>
      <c r="N520" s="7" t="s">
        <v>738</v>
      </c>
      <c r="O520" s="7" t="s">
        <v>921</v>
      </c>
      <c r="P520" s="11">
        <v>45456</v>
      </c>
    </row>
    <row r="521" spans="1:16" ht="16.5" x14ac:dyDescent="0.4">
      <c r="A521" s="4" t="s">
        <v>93</v>
      </c>
      <c r="B521" s="70" t="s">
        <v>104</v>
      </c>
      <c r="C521" s="4" t="s">
        <v>110</v>
      </c>
      <c r="D521" s="4">
        <v>313</v>
      </c>
      <c r="E521" s="4">
        <v>148</v>
      </c>
      <c r="F521" s="5">
        <v>36650</v>
      </c>
      <c r="G521" s="5">
        <v>115970</v>
      </c>
      <c r="H521" s="6">
        <v>-79320</v>
      </c>
      <c r="I521" s="4" t="s">
        <v>101</v>
      </c>
      <c r="J521" s="5">
        <v>4122628</v>
      </c>
      <c r="K521" s="5">
        <v>36650</v>
      </c>
      <c r="L521" s="5">
        <v>8857617</v>
      </c>
      <c r="M521" s="5">
        <v>39893</v>
      </c>
      <c r="N521" s="7" t="s">
        <v>424</v>
      </c>
      <c r="O521" s="7" t="s">
        <v>922</v>
      </c>
      <c r="P521" s="11">
        <v>45457</v>
      </c>
    </row>
    <row r="522" spans="1:16" ht="16.5" x14ac:dyDescent="0.4">
      <c r="A522" s="4" t="s">
        <v>93</v>
      </c>
      <c r="B522" s="70" t="s">
        <v>105</v>
      </c>
      <c r="C522" s="4" t="s">
        <v>122</v>
      </c>
      <c r="D522" s="4">
        <v>293</v>
      </c>
      <c r="E522" s="4">
        <v>105</v>
      </c>
      <c r="F522" s="5">
        <v>21340</v>
      </c>
      <c r="G522" s="5">
        <v>93717</v>
      </c>
      <c r="H522" s="6">
        <v>-72377</v>
      </c>
      <c r="I522" s="4" t="s">
        <v>101</v>
      </c>
      <c r="J522" s="5">
        <v>3716710</v>
      </c>
      <c r="K522" s="5">
        <v>21340</v>
      </c>
      <c r="L522" s="5">
        <v>6064427</v>
      </c>
      <c r="M522" s="5">
        <v>22218</v>
      </c>
      <c r="N522" s="7" t="s">
        <v>447</v>
      </c>
      <c r="O522" s="7" t="s">
        <v>923</v>
      </c>
      <c r="P522" s="11">
        <v>45457</v>
      </c>
    </row>
    <row r="523" spans="1:16" ht="16.5" x14ac:dyDescent="0.4">
      <c r="A523" s="4" t="s">
        <v>92</v>
      </c>
      <c r="B523" s="70" t="s">
        <v>178</v>
      </c>
      <c r="C523" s="4" t="s">
        <v>133</v>
      </c>
      <c r="D523" s="4">
        <v>332</v>
      </c>
      <c r="E523" s="4">
        <v>173</v>
      </c>
      <c r="F523" s="5">
        <v>58378</v>
      </c>
      <c r="G523" s="5">
        <v>209686</v>
      </c>
      <c r="H523" s="6">
        <v>-151308</v>
      </c>
      <c r="I523" s="4" t="s">
        <v>101</v>
      </c>
      <c r="J523" s="5">
        <v>7420722</v>
      </c>
      <c r="K523" s="5">
        <v>58378</v>
      </c>
      <c r="L523" s="5">
        <v>15857681</v>
      </c>
      <c r="M523" s="5">
        <v>66023</v>
      </c>
      <c r="N523" s="7" t="s">
        <v>317</v>
      </c>
      <c r="O523" s="7" t="s">
        <v>924</v>
      </c>
      <c r="P523" s="11">
        <v>45457</v>
      </c>
    </row>
    <row r="524" spans="1:16" ht="16.5" x14ac:dyDescent="0.4">
      <c r="A524" s="4" t="s">
        <v>93</v>
      </c>
      <c r="B524" s="70" t="s">
        <v>178</v>
      </c>
      <c r="C524" s="4" t="s">
        <v>122</v>
      </c>
      <c r="D524" s="4">
        <v>258</v>
      </c>
      <c r="E524" s="4">
        <v>103</v>
      </c>
      <c r="F524" s="5">
        <v>31587</v>
      </c>
      <c r="G524" s="5">
        <v>209686</v>
      </c>
      <c r="H524" s="6">
        <v>-178099</v>
      </c>
      <c r="I524" s="4" t="s">
        <v>101</v>
      </c>
      <c r="J524" s="5">
        <v>6890312</v>
      </c>
      <c r="K524" s="5">
        <v>31587</v>
      </c>
      <c r="L524" s="5">
        <v>10490746</v>
      </c>
      <c r="M524" s="5">
        <v>32838</v>
      </c>
      <c r="N524" s="7" t="s">
        <v>509</v>
      </c>
      <c r="O524" s="7" t="s">
        <v>926</v>
      </c>
      <c r="P524" s="11">
        <v>45458</v>
      </c>
    </row>
    <row r="525" spans="1:16" ht="16.5" x14ac:dyDescent="0.4">
      <c r="A525" s="4" t="s">
        <v>92</v>
      </c>
      <c r="B525" s="70" t="s">
        <v>178</v>
      </c>
      <c r="C525" s="4" t="s">
        <v>133</v>
      </c>
      <c r="D525" s="4">
        <v>423</v>
      </c>
      <c r="E525" s="4">
        <v>185</v>
      </c>
      <c r="F525" s="5">
        <v>59676</v>
      </c>
      <c r="G525" s="5">
        <v>209686</v>
      </c>
      <c r="H525" s="6">
        <v>-150010</v>
      </c>
      <c r="I525" s="4" t="s">
        <v>101</v>
      </c>
      <c r="J525" s="5">
        <v>7549832</v>
      </c>
      <c r="K525" s="5">
        <v>59676</v>
      </c>
      <c r="L525" s="5">
        <v>16189057</v>
      </c>
      <c r="M525" s="5">
        <v>66713</v>
      </c>
      <c r="N525" s="7" t="s">
        <v>317</v>
      </c>
      <c r="O525" s="7" t="s">
        <v>927</v>
      </c>
      <c r="P525" s="11">
        <v>45458</v>
      </c>
    </row>
    <row r="526" spans="1:16" ht="16.5" x14ac:dyDescent="0.4">
      <c r="A526" s="4" t="s">
        <v>93</v>
      </c>
      <c r="B526" s="70" t="s">
        <v>104</v>
      </c>
      <c r="C526" s="4" t="s">
        <v>110</v>
      </c>
      <c r="D526" s="4">
        <v>299</v>
      </c>
      <c r="E526" s="4">
        <v>154</v>
      </c>
      <c r="F526" s="5">
        <v>36451</v>
      </c>
      <c r="G526" s="5">
        <v>115970</v>
      </c>
      <c r="H526" s="6">
        <v>-79519</v>
      </c>
      <c r="I526" s="4" t="s">
        <v>101</v>
      </c>
      <c r="J526" s="5">
        <v>5681819</v>
      </c>
      <c r="K526" s="5">
        <v>36451</v>
      </c>
      <c r="L526" s="5">
        <v>10125772</v>
      </c>
      <c r="M526" s="5">
        <v>39969</v>
      </c>
      <c r="N526" s="7" t="s">
        <v>419</v>
      </c>
      <c r="O526" s="7" t="s">
        <v>928</v>
      </c>
      <c r="P526" s="11">
        <v>45459</v>
      </c>
    </row>
    <row r="527" spans="1:16" ht="16.5" x14ac:dyDescent="0.4">
      <c r="A527" s="4" t="s">
        <v>93</v>
      </c>
      <c r="B527" s="70" t="s">
        <v>105</v>
      </c>
      <c r="C527" s="4" t="s">
        <v>111</v>
      </c>
      <c r="D527" s="4">
        <v>210</v>
      </c>
      <c r="E527" s="4">
        <v>109</v>
      </c>
      <c r="F527" s="5">
        <v>27009</v>
      </c>
      <c r="G527" s="5">
        <v>93717</v>
      </c>
      <c r="H527" s="6">
        <v>-66708</v>
      </c>
      <c r="I527" s="4" t="s">
        <v>101</v>
      </c>
      <c r="J527" s="5">
        <v>6666123</v>
      </c>
      <c r="K527" s="5">
        <v>27009</v>
      </c>
      <c r="L527" s="5">
        <v>8628679</v>
      </c>
      <c r="M527" s="5">
        <v>27884</v>
      </c>
      <c r="N527" s="7" t="s">
        <v>925</v>
      </c>
      <c r="O527" s="7" t="s">
        <v>929</v>
      </c>
      <c r="P527" s="11">
        <v>45459</v>
      </c>
    </row>
    <row r="528" spans="1:16" ht="16.5" x14ac:dyDescent="0.4">
      <c r="A528" s="4" t="s">
        <v>92</v>
      </c>
      <c r="B528" s="70" t="s">
        <v>178</v>
      </c>
      <c r="C528" s="4" t="s">
        <v>158</v>
      </c>
      <c r="D528" s="4">
        <v>288</v>
      </c>
      <c r="E528" s="4">
        <v>113</v>
      </c>
      <c r="F528" s="5">
        <v>46374</v>
      </c>
      <c r="G528" s="5">
        <v>209686</v>
      </c>
      <c r="H528" s="6">
        <v>-163312</v>
      </c>
      <c r="I528" s="4" t="s">
        <v>101</v>
      </c>
      <c r="J528" s="5">
        <v>5440823</v>
      </c>
      <c r="K528" s="5">
        <v>46374</v>
      </c>
      <c r="L528" s="5">
        <v>8842320</v>
      </c>
      <c r="M528" s="5">
        <v>49605</v>
      </c>
      <c r="N528" s="7" t="s">
        <v>364</v>
      </c>
      <c r="O528" s="7" t="s">
        <v>930</v>
      </c>
      <c r="P528" s="11">
        <v>45459</v>
      </c>
    </row>
    <row r="529" spans="1:16" ht="16.5" x14ac:dyDescent="0.4">
      <c r="A529" s="4" t="s">
        <v>93</v>
      </c>
      <c r="B529" s="70" t="s">
        <v>104</v>
      </c>
      <c r="C529" s="4" t="s">
        <v>111</v>
      </c>
      <c r="D529" s="4">
        <v>220</v>
      </c>
      <c r="E529" s="4">
        <v>119</v>
      </c>
      <c r="F529" s="5">
        <v>31204</v>
      </c>
      <c r="G529" s="5">
        <v>115970</v>
      </c>
      <c r="H529" s="6">
        <v>-84766</v>
      </c>
      <c r="I529" s="4" t="s">
        <v>101</v>
      </c>
      <c r="J529" s="5">
        <v>6441015</v>
      </c>
      <c r="K529" s="5">
        <v>31204</v>
      </c>
      <c r="L529" s="5">
        <v>10016194</v>
      </c>
      <c r="M529" s="5">
        <v>33336</v>
      </c>
      <c r="N529" s="7" t="s">
        <v>442</v>
      </c>
      <c r="O529" s="7" t="s">
        <v>931</v>
      </c>
      <c r="P529" s="11">
        <v>45460</v>
      </c>
    </row>
    <row r="530" spans="1:16" ht="16.5" x14ac:dyDescent="0.4">
      <c r="A530" s="4" t="s">
        <v>93</v>
      </c>
      <c r="B530" s="70" t="s">
        <v>105</v>
      </c>
      <c r="C530" s="4" t="s">
        <v>110</v>
      </c>
      <c r="D530" s="4">
        <v>311</v>
      </c>
      <c r="E530" s="4">
        <v>149</v>
      </c>
      <c r="F530" s="5">
        <v>26166</v>
      </c>
      <c r="G530" s="5">
        <v>93717</v>
      </c>
      <c r="H530" s="6">
        <v>-67551</v>
      </c>
      <c r="I530" s="4" t="s">
        <v>101</v>
      </c>
      <c r="J530" s="5">
        <v>4626853</v>
      </c>
      <c r="K530" s="5">
        <v>26166</v>
      </c>
      <c r="L530" s="5">
        <v>7589176</v>
      </c>
      <c r="M530" s="5">
        <v>28426</v>
      </c>
      <c r="N530" s="7" t="s">
        <v>447</v>
      </c>
      <c r="O530" s="7" t="s">
        <v>932</v>
      </c>
      <c r="P530" s="11">
        <v>45460</v>
      </c>
    </row>
    <row r="531" spans="1:16" ht="16.5" x14ac:dyDescent="0.4">
      <c r="A531" s="4" t="s">
        <v>92</v>
      </c>
      <c r="B531" s="70" t="s">
        <v>178</v>
      </c>
      <c r="C531" s="4" t="s">
        <v>158</v>
      </c>
      <c r="D531" s="4">
        <v>293</v>
      </c>
      <c r="E531" s="4">
        <v>120</v>
      </c>
      <c r="F531" s="5">
        <v>42987</v>
      </c>
      <c r="G531" s="5">
        <v>209686</v>
      </c>
      <c r="H531" s="6">
        <v>-166699</v>
      </c>
      <c r="I531" s="4" t="s">
        <v>101</v>
      </c>
      <c r="J531" s="5">
        <v>4239785</v>
      </c>
      <c r="K531" s="5">
        <v>42987</v>
      </c>
      <c r="L531" s="5">
        <v>7744106</v>
      </c>
      <c r="M531" s="5">
        <v>46450</v>
      </c>
      <c r="N531" s="7" t="s">
        <v>665</v>
      </c>
      <c r="O531" s="7" t="s">
        <v>933</v>
      </c>
      <c r="P531" s="11">
        <v>45460</v>
      </c>
    </row>
    <row r="532" spans="1:16" ht="16.5" x14ac:dyDescent="0.4">
      <c r="A532" s="4" t="s">
        <v>93</v>
      </c>
      <c r="B532" s="70" t="s">
        <v>104</v>
      </c>
      <c r="C532" s="4" t="s">
        <v>133</v>
      </c>
      <c r="D532" s="4">
        <v>230</v>
      </c>
      <c r="E532" s="4">
        <v>107</v>
      </c>
      <c r="F532" s="5">
        <v>31294</v>
      </c>
      <c r="G532" s="5">
        <v>115970</v>
      </c>
      <c r="H532" s="6">
        <v>-84676</v>
      </c>
      <c r="I532" s="4" t="s">
        <v>101</v>
      </c>
      <c r="J532" s="5">
        <v>1456566</v>
      </c>
      <c r="K532" s="5">
        <v>31294</v>
      </c>
      <c r="L532" s="5">
        <v>6294960</v>
      </c>
      <c r="M532" s="5">
        <v>35829</v>
      </c>
      <c r="N532" s="7" t="s">
        <v>934</v>
      </c>
      <c r="O532" s="7" t="s">
        <v>935</v>
      </c>
      <c r="P532" s="11">
        <v>45461</v>
      </c>
    </row>
    <row r="533" spans="1:16" ht="16.5" x14ac:dyDescent="0.4">
      <c r="A533" s="4" t="s">
        <v>93</v>
      </c>
      <c r="B533" s="70" t="s">
        <v>105</v>
      </c>
      <c r="C533" s="4" t="s">
        <v>111</v>
      </c>
      <c r="D533" s="4">
        <v>196</v>
      </c>
      <c r="E533" s="4">
        <v>105</v>
      </c>
      <c r="F533" s="5">
        <v>23100</v>
      </c>
      <c r="G533" s="5">
        <v>93717</v>
      </c>
      <c r="H533" s="6">
        <v>-70617</v>
      </c>
      <c r="I533" s="4" t="s">
        <v>101</v>
      </c>
      <c r="J533" s="5">
        <v>4548191</v>
      </c>
      <c r="K533" s="5">
        <v>23100</v>
      </c>
      <c r="L533" s="5">
        <v>6741363</v>
      </c>
      <c r="M533" s="5">
        <v>24266</v>
      </c>
      <c r="N533" s="7" t="s">
        <v>449</v>
      </c>
      <c r="O533" s="7" t="s">
        <v>936</v>
      </c>
      <c r="P533" s="11">
        <v>45461</v>
      </c>
    </row>
    <row r="534" spans="1:16" ht="16.5" x14ac:dyDescent="0.4">
      <c r="A534" s="4" t="s">
        <v>92</v>
      </c>
      <c r="B534" s="70" t="s">
        <v>178</v>
      </c>
      <c r="C534" s="4" t="s">
        <v>122</v>
      </c>
      <c r="D534" s="4">
        <v>261</v>
      </c>
      <c r="E534" s="4">
        <v>114</v>
      </c>
      <c r="F534" s="5">
        <v>43446</v>
      </c>
      <c r="G534" s="5">
        <v>209686</v>
      </c>
      <c r="H534" s="6">
        <v>-166240</v>
      </c>
      <c r="I534" s="4" t="s">
        <v>101</v>
      </c>
      <c r="J534" s="5">
        <v>6478999</v>
      </c>
      <c r="K534" s="5">
        <v>43446</v>
      </c>
      <c r="L534" s="5">
        <v>13406054</v>
      </c>
      <c r="M534" s="5">
        <v>49483</v>
      </c>
      <c r="N534" s="7" t="s">
        <v>299</v>
      </c>
      <c r="O534" s="7" t="s">
        <v>937</v>
      </c>
      <c r="P534" s="11">
        <v>45461</v>
      </c>
    </row>
    <row r="535" spans="1:16" ht="16.5" x14ac:dyDescent="0.4">
      <c r="A535" s="4" t="s">
        <v>93</v>
      </c>
      <c r="B535" s="70" t="s">
        <v>178</v>
      </c>
      <c r="C535" s="4" t="s">
        <v>133</v>
      </c>
      <c r="D535" s="4">
        <v>304</v>
      </c>
      <c r="E535" s="4">
        <v>155</v>
      </c>
      <c r="F535" s="5">
        <v>43768</v>
      </c>
      <c r="G535" s="5">
        <v>209686</v>
      </c>
      <c r="H535" s="6">
        <v>-165918</v>
      </c>
      <c r="I535" s="4" t="s">
        <v>101</v>
      </c>
      <c r="J535" s="5">
        <v>6302507</v>
      </c>
      <c r="K535" s="5">
        <v>43768</v>
      </c>
      <c r="L535" s="5">
        <v>12449435</v>
      </c>
      <c r="M535" s="5">
        <v>50161</v>
      </c>
      <c r="N535" s="7" t="s">
        <v>467</v>
      </c>
      <c r="O535" s="7" t="s">
        <v>938</v>
      </c>
      <c r="P535" s="11">
        <v>45462</v>
      </c>
    </row>
    <row r="536" spans="1:16" ht="16.5" x14ac:dyDescent="0.4">
      <c r="A536" s="4" t="s">
        <v>92</v>
      </c>
      <c r="B536" s="70" t="s">
        <v>178</v>
      </c>
      <c r="C536" s="4" t="s">
        <v>110</v>
      </c>
      <c r="D536" s="4">
        <v>348</v>
      </c>
      <c r="E536" s="4">
        <v>192</v>
      </c>
      <c r="F536" s="5">
        <v>50932</v>
      </c>
      <c r="G536" s="5">
        <v>209686</v>
      </c>
      <c r="H536" s="6">
        <v>-158754</v>
      </c>
      <c r="I536" s="4" t="s">
        <v>101</v>
      </c>
      <c r="J536" s="5">
        <v>6220576</v>
      </c>
      <c r="K536" s="5">
        <v>50932</v>
      </c>
      <c r="L536" s="5">
        <v>13821003</v>
      </c>
      <c r="M536" s="5">
        <v>58691</v>
      </c>
      <c r="N536" s="7" t="s">
        <v>556</v>
      </c>
      <c r="O536" s="7" t="s">
        <v>939</v>
      </c>
      <c r="P536" s="11">
        <v>45462</v>
      </c>
    </row>
    <row r="537" spans="1:16" ht="16.5" x14ac:dyDescent="0.4">
      <c r="A537" s="4" t="s">
        <v>93</v>
      </c>
      <c r="B537" s="70" t="s">
        <v>178</v>
      </c>
      <c r="C537" s="4" t="s">
        <v>111</v>
      </c>
      <c r="D537" s="4">
        <v>276</v>
      </c>
      <c r="E537" s="4">
        <v>143</v>
      </c>
      <c r="F537" s="5">
        <v>40715</v>
      </c>
      <c r="G537" s="5">
        <v>209686</v>
      </c>
      <c r="H537" s="6">
        <v>-168971</v>
      </c>
      <c r="I537" s="4" t="s">
        <v>101</v>
      </c>
      <c r="J537" s="5">
        <v>4790284</v>
      </c>
      <c r="K537" s="5">
        <v>40715</v>
      </c>
      <c r="L537" s="5">
        <v>9737896</v>
      </c>
      <c r="M537" s="5">
        <v>45931</v>
      </c>
      <c r="N537" s="7" t="s">
        <v>364</v>
      </c>
      <c r="O537" s="7" t="s">
        <v>940</v>
      </c>
      <c r="P537" s="11">
        <v>45463</v>
      </c>
    </row>
    <row r="538" spans="1:16" ht="16.5" x14ac:dyDescent="0.4">
      <c r="A538" s="4" t="s">
        <v>92</v>
      </c>
      <c r="B538" s="70" t="s">
        <v>104</v>
      </c>
      <c r="C538" s="4" t="s">
        <v>110</v>
      </c>
      <c r="D538" s="4">
        <v>278</v>
      </c>
      <c r="E538" s="4">
        <v>178</v>
      </c>
      <c r="F538" s="5">
        <v>45448</v>
      </c>
      <c r="G538" s="5">
        <v>115970</v>
      </c>
      <c r="H538" s="6">
        <v>-70522</v>
      </c>
      <c r="I538" s="4" t="s">
        <v>101</v>
      </c>
      <c r="J538" s="5">
        <v>5550472</v>
      </c>
      <c r="K538" s="5">
        <v>45448</v>
      </c>
      <c r="L538" s="5">
        <v>12985852</v>
      </c>
      <c r="M538" s="5">
        <v>53830</v>
      </c>
      <c r="N538" s="7" t="s">
        <v>556</v>
      </c>
      <c r="O538" s="7" t="s">
        <v>941</v>
      </c>
      <c r="P538" s="11">
        <v>45463</v>
      </c>
    </row>
    <row r="539" spans="1:16" ht="16.5" x14ac:dyDescent="0.4">
      <c r="A539" s="4" t="s">
        <v>92</v>
      </c>
      <c r="B539" s="70" t="s">
        <v>105</v>
      </c>
      <c r="C539" s="4" t="s">
        <v>133</v>
      </c>
      <c r="D539" s="4">
        <v>264</v>
      </c>
      <c r="E539" s="4">
        <v>147</v>
      </c>
      <c r="F539" s="5">
        <v>29930</v>
      </c>
      <c r="G539" s="5">
        <v>93717</v>
      </c>
      <c r="H539" s="6">
        <v>-63787</v>
      </c>
      <c r="I539" s="4" t="s">
        <v>101</v>
      </c>
      <c r="J539" s="5">
        <v>3467708</v>
      </c>
      <c r="K539" s="5">
        <v>29930</v>
      </c>
      <c r="L539" s="5">
        <v>8271909</v>
      </c>
      <c r="M539" s="5">
        <v>36866</v>
      </c>
      <c r="N539" s="7" t="s">
        <v>143</v>
      </c>
      <c r="O539" s="7" t="s">
        <v>942</v>
      </c>
      <c r="P539" s="11">
        <v>45463</v>
      </c>
    </row>
    <row r="540" spans="1:16" ht="16.5" x14ac:dyDescent="0.4">
      <c r="A540" s="4" t="s">
        <v>93</v>
      </c>
      <c r="B540" s="70" t="s">
        <v>104</v>
      </c>
      <c r="C540" s="4" t="s">
        <v>122</v>
      </c>
      <c r="D540" s="4">
        <v>180</v>
      </c>
      <c r="E540" s="4">
        <v>103</v>
      </c>
      <c r="F540" s="5">
        <v>26629</v>
      </c>
      <c r="G540" s="5">
        <v>115970</v>
      </c>
      <c r="H540" s="6">
        <v>-89341</v>
      </c>
      <c r="I540" s="4" t="s">
        <v>101</v>
      </c>
      <c r="J540" s="5">
        <v>2569359</v>
      </c>
      <c r="K540" s="5">
        <v>26629</v>
      </c>
      <c r="L540" s="5">
        <v>6461860</v>
      </c>
      <c r="M540" s="5">
        <v>31484</v>
      </c>
      <c r="N540" s="7" t="s">
        <v>508</v>
      </c>
      <c r="O540" s="7" t="s">
        <v>943</v>
      </c>
      <c r="P540" s="11">
        <v>45464</v>
      </c>
    </row>
    <row r="541" spans="1:16" ht="16.5" x14ac:dyDescent="0.4">
      <c r="A541" s="4" t="s">
        <v>93</v>
      </c>
      <c r="B541" s="70" t="s">
        <v>105</v>
      </c>
      <c r="C541" s="4" t="s">
        <v>111</v>
      </c>
      <c r="D541" s="4">
        <v>155</v>
      </c>
      <c r="E541" s="4">
        <v>114</v>
      </c>
      <c r="F541" s="5">
        <v>23293</v>
      </c>
      <c r="G541" s="5">
        <v>93717</v>
      </c>
      <c r="H541" s="6">
        <v>-70424</v>
      </c>
      <c r="I541" s="4" t="s">
        <v>101</v>
      </c>
      <c r="J541" s="5">
        <v>3465353</v>
      </c>
      <c r="K541" s="5">
        <v>23293</v>
      </c>
      <c r="L541" s="5">
        <v>7828141</v>
      </c>
      <c r="M541" s="5">
        <v>26226</v>
      </c>
      <c r="N541" s="7" t="s">
        <v>299</v>
      </c>
      <c r="O541" s="7" t="s">
        <v>944</v>
      </c>
      <c r="P541" s="11">
        <v>45464</v>
      </c>
    </row>
    <row r="542" spans="1:16" ht="16.5" x14ac:dyDescent="0.4">
      <c r="A542" s="4" t="s">
        <v>92</v>
      </c>
      <c r="B542" s="70" t="s">
        <v>104</v>
      </c>
      <c r="C542" s="4" t="s">
        <v>158</v>
      </c>
      <c r="D542" s="4">
        <v>181</v>
      </c>
      <c r="E542" s="4">
        <v>106</v>
      </c>
      <c r="F542" s="5">
        <v>35341</v>
      </c>
      <c r="G542" s="5">
        <v>115970</v>
      </c>
      <c r="H542" s="6">
        <v>-80629</v>
      </c>
      <c r="I542" s="4" t="s">
        <v>101</v>
      </c>
      <c r="J542" s="5">
        <v>3299017</v>
      </c>
      <c r="K542" s="5">
        <v>35341</v>
      </c>
      <c r="L542" s="5">
        <v>6317340</v>
      </c>
      <c r="M542" s="5">
        <v>41076</v>
      </c>
      <c r="N542" s="7" t="s">
        <v>276</v>
      </c>
      <c r="O542" s="7" t="s">
        <v>945</v>
      </c>
      <c r="P542" s="11">
        <v>45464</v>
      </c>
    </row>
    <row r="543" spans="1:16" ht="16.5" x14ac:dyDescent="0.4">
      <c r="A543" s="4" t="s">
        <v>92</v>
      </c>
      <c r="B543" s="70" t="s">
        <v>105</v>
      </c>
      <c r="C543" s="4" t="s">
        <v>110</v>
      </c>
      <c r="D543" s="4">
        <v>242</v>
      </c>
      <c r="E543" s="4">
        <v>157</v>
      </c>
      <c r="F543" s="5">
        <v>41223</v>
      </c>
      <c r="G543" s="5">
        <v>93717</v>
      </c>
      <c r="H543" s="6">
        <v>-52494</v>
      </c>
      <c r="I543" s="4" t="s">
        <v>101</v>
      </c>
      <c r="J543" s="5">
        <v>5777110</v>
      </c>
      <c r="K543" s="5">
        <v>41223</v>
      </c>
      <c r="L543" s="5">
        <v>10056985</v>
      </c>
      <c r="M543" s="5">
        <v>47079</v>
      </c>
      <c r="N543" s="7" t="s">
        <v>161</v>
      </c>
      <c r="O543" s="7" t="s">
        <v>946</v>
      </c>
      <c r="P543" s="11">
        <v>45464</v>
      </c>
    </row>
    <row r="544" spans="1:16" ht="16.5" x14ac:dyDescent="0.4">
      <c r="A544" s="4" t="s">
        <v>93</v>
      </c>
      <c r="B544" s="70" t="s">
        <v>178</v>
      </c>
      <c r="C544" s="4" t="s">
        <v>122</v>
      </c>
      <c r="D544" s="4">
        <v>215</v>
      </c>
      <c r="E544" s="4">
        <v>103</v>
      </c>
      <c r="F544" s="5">
        <v>38932</v>
      </c>
      <c r="G544" s="5">
        <v>209686</v>
      </c>
      <c r="H544" s="6">
        <v>-170754</v>
      </c>
      <c r="I544" s="4" t="s">
        <v>101</v>
      </c>
      <c r="J544" s="5">
        <v>5844914</v>
      </c>
      <c r="K544" s="5">
        <v>38932</v>
      </c>
      <c r="L544" s="5">
        <v>13640143</v>
      </c>
      <c r="M544" s="5">
        <v>43552</v>
      </c>
      <c r="N544" s="7" t="s">
        <v>299</v>
      </c>
      <c r="O544" s="7" t="s">
        <v>947</v>
      </c>
      <c r="P544" s="11">
        <v>45465</v>
      </c>
    </row>
    <row r="545" spans="1:16" ht="16.5" x14ac:dyDescent="0.4">
      <c r="A545" s="4" t="s">
        <v>92</v>
      </c>
      <c r="B545" s="70" t="s">
        <v>178</v>
      </c>
      <c r="C545" s="4" t="s">
        <v>158</v>
      </c>
      <c r="D545" s="4">
        <v>239</v>
      </c>
      <c r="E545" s="4">
        <v>126</v>
      </c>
      <c r="F545" s="5">
        <v>56236</v>
      </c>
      <c r="G545" s="5">
        <v>209686</v>
      </c>
      <c r="H545" s="6">
        <v>-153450</v>
      </c>
      <c r="I545" s="4" t="s">
        <v>101</v>
      </c>
      <c r="J545" s="5">
        <v>5022510</v>
      </c>
      <c r="K545" s="5">
        <v>56236</v>
      </c>
      <c r="L545" s="5">
        <v>9354305</v>
      </c>
      <c r="M545" s="5">
        <v>64191</v>
      </c>
      <c r="N545" s="7" t="s">
        <v>116</v>
      </c>
      <c r="O545" s="7" t="s">
        <v>948</v>
      </c>
      <c r="P545" s="11">
        <v>45465</v>
      </c>
    </row>
    <row r="546" spans="1:16" ht="16.5" x14ac:dyDescent="0.4">
      <c r="A546" s="4" t="s">
        <v>93</v>
      </c>
      <c r="B546" s="70" t="s">
        <v>104</v>
      </c>
      <c r="C546" s="4" t="s">
        <v>133</v>
      </c>
      <c r="D546" s="4">
        <v>194</v>
      </c>
      <c r="E546" s="4">
        <v>126</v>
      </c>
      <c r="F546" s="5">
        <v>32404</v>
      </c>
      <c r="G546" s="5">
        <v>115970</v>
      </c>
      <c r="H546" s="6">
        <v>-83566</v>
      </c>
      <c r="I546" s="4" t="s">
        <v>101</v>
      </c>
      <c r="J546" s="5">
        <v>5758763</v>
      </c>
      <c r="K546" s="5">
        <v>32404</v>
      </c>
      <c r="L546" s="5">
        <v>10035297</v>
      </c>
      <c r="M546" s="5">
        <v>37602</v>
      </c>
      <c r="N546" s="7" t="s">
        <v>400</v>
      </c>
      <c r="O546" s="7" t="s">
        <v>949</v>
      </c>
      <c r="P546" s="11">
        <v>45466</v>
      </c>
    </row>
    <row r="547" spans="1:16" ht="16.5" x14ac:dyDescent="0.4">
      <c r="A547" s="4" t="s">
        <v>93</v>
      </c>
      <c r="B547" s="70" t="s">
        <v>105</v>
      </c>
      <c r="C547" s="4" t="s">
        <v>111</v>
      </c>
      <c r="D547" s="4">
        <v>166</v>
      </c>
      <c r="E547" s="4">
        <v>108</v>
      </c>
      <c r="F547" s="5">
        <v>24803</v>
      </c>
      <c r="G547" s="5">
        <v>93717</v>
      </c>
      <c r="H547" s="6">
        <v>-68914</v>
      </c>
      <c r="I547" s="4" t="s">
        <v>101</v>
      </c>
      <c r="J547" s="5">
        <v>5855065</v>
      </c>
      <c r="K547" s="5">
        <v>24803</v>
      </c>
      <c r="L547" s="5">
        <v>7926447</v>
      </c>
      <c r="M547" s="5">
        <v>26893</v>
      </c>
      <c r="N547" s="7" t="s">
        <v>414</v>
      </c>
      <c r="O547" s="7" t="s">
        <v>950</v>
      </c>
      <c r="P547" s="11">
        <v>45466</v>
      </c>
    </row>
    <row r="548" spans="1:16" ht="16.5" x14ac:dyDescent="0.4">
      <c r="A548" s="4" t="s">
        <v>92</v>
      </c>
      <c r="B548" s="70" t="s">
        <v>178</v>
      </c>
      <c r="C548" s="4" t="s">
        <v>158</v>
      </c>
      <c r="D548" s="4">
        <v>200</v>
      </c>
      <c r="E548" s="4">
        <v>116</v>
      </c>
      <c r="F548" s="5">
        <v>55367</v>
      </c>
      <c r="G548" s="5">
        <v>209686</v>
      </c>
      <c r="H548" s="6">
        <v>-154319</v>
      </c>
      <c r="I548" s="4" t="s">
        <v>101</v>
      </c>
      <c r="J548" s="5">
        <v>5873286</v>
      </c>
      <c r="K548" s="5">
        <v>55367</v>
      </c>
      <c r="L548" s="5">
        <v>9691916</v>
      </c>
      <c r="M548" s="5">
        <v>62254</v>
      </c>
      <c r="N548" s="7" t="s">
        <v>118</v>
      </c>
      <c r="O548" s="7" t="s">
        <v>951</v>
      </c>
      <c r="P548" s="11">
        <v>45466</v>
      </c>
    </row>
    <row r="549" spans="1:16" ht="16.5" x14ac:dyDescent="0.4">
      <c r="A549" s="4" t="s">
        <v>93</v>
      </c>
      <c r="B549" s="70" t="s">
        <v>104</v>
      </c>
      <c r="C549" s="4" t="s">
        <v>110</v>
      </c>
      <c r="D549" s="4">
        <v>216</v>
      </c>
      <c r="E549" s="4">
        <v>145</v>
      </c>
      <c r="F549" s="5">
        <v>37881</v>
      </c>
      <c r="G549" s="5">
        <v>115970</v>
      </c>
      <c r="H549" s="6">
        <v>-78089</v>
      </c>
      <c r="I549" s="4" t="s">
        <v>101</v>
      </c>
      <c r="J549" s="5">
        <v>4261899</v>
      </c>
      <c r="K549" s="5">
        <v>37881</v>
      </c>
      <c r="L549" s="5">
        <v>9287284</v>
      </c>
      <c r="M549" s="5">
        <v>44801</v>
      </c>
      <c r="N549" s="7" t="s">
        <v>424</v>
      </c>
      <c r="O549" s="7" t="s">
        <v>952</v>
      </c>
      <c r="P549" s="11">
        <v>45467</v>
      </c>
    </row>
    <row r="550" spans="1:16" ht="16.5" x14ac:dyDescent="0.4">
      <c r="A550" s="4" t="s">
        <v>93</v>
      </c>
      <c r="B550" s="70" t="s">
        <v>105</v>
      </c>
      <c r="C550" s="4" t="s">
        <v>111</v>
      </c>
      <c r="D550" s="4">
        <v>177</v>
      </c>
      <c r="E550" s="4">
        <v>107</v>
      </c>
      <c r="F550" s="5">
        <v>28787</v>
      </c>
      <c r="G550" s="5">
        <v>93717</v>
      </c>
      <c r="H550" s="6">
        <v>-64930</v>
      </c>
      <c r="I550" s="4" t="s">
        <v>101</v>
      </c>
      <c r="J550" s="5">
        <v>5826823</v>
      </c>
      <c r="K550" s="5">
        <v>28787</v>
      </c>
      <c r="L550" s="5">
        <v>9689794</v>
      </c>
      <c r="M550" s="5">
        <v>31524</v>
      </c>
      <c r="N550" s="7" t="s">
        <v>527</v>
      </c>
      <c r="O550" s="7" t="s">
        <v>953</v>
      </c>
      <c r="P550" s="11">
        <v>45467</v>
      </c>
    </row>
    <row r="551" spans="1:16" ht="16.5" x14ac:dyDescent="0.4">
      <c r="A551" s="4" t="s">
        <v>92</v>
      </c>
      <c r="B551" s="70" t="s">
        <v>178</v>
      </c>
      <c r="C551" s="4" t="s">
        <v>158</v>
      </c>
      <c r="D551" s="4">
        <v>221</v>
      </c>
      <c r="E551" s="4">
        <v>120</v>
      </c>
      <c r="F551" s="5">
        <v>59826</v>
      </c>
      <c r="G551" s="5">
        <v>209686</v>
      </c>
      <c r="H551" s="6">
        <v>-149860</v>
      </c>
      <c r="I551" s="4" t="s">
        <v>101</v>
      </c>
      <c r="J551" s="5">
        <v>6397904</v>
      </c>
      <c r="K551" s="5">
        <v>59826</v>
      </c>
      <c r="L551" s="5">
        <v>10484960</v>
      </c>
      <c r="M551" s="5">
        <v>68047</v>
      </c>
      <c r="N551" s="7" t="s">
        <v>118</v>
      </c>
      <c r="O551" s="7" t="s">
        <v>954</v>
      </c>
      <c r="P551" s="11">
        <v>45467</v>
      </c>
    </row>
    <row r="552" spans="1:16" ht="16.5" x14ac:dyDescent="0.4">
      <c r="A552" s="4" t="s">
        <v>93</v>
      </c>
      <c r="B552" s="70" t="s">
        <v>104</v>
      </c>
      <c r="C552" s="4" t="s">
        <v>110</v>
      </c>
      <c r="D552" s="4">
        <v>199</v>
      </c>
      <c r="E552" s="4">
        <v>139</v>
      </c>
      <c r="F552" s="5">
        <v>35702</v>
      </c>
      <c r="G552" s="5">
        <v>115970</v>
      </c>
      <c r="H552" s="6">
        <v>-80268</v>
      </c>
      <c r="I552" s="4" t="s">
        <v>101</v>
      </c>
      <c r="J552" s="5">
        <v>3405097</v>
      </c>
      <c r="K552" s="5">
        <v>35702</v>
      </c>
      <c r="L552" s="5">
        <v>8106533</v>
      </c>
      <c r="M552" s="5">
        <v>42001</v>
      </c>
      <c r="N552" s="7" t="s">
        <v>369</v>
      </c>
      <c r="O552" s="7" t="s">
        <v>955</v>
      </c>
      <c r="P552" s="11">
        <v>45468</v>
      </c>
    </row>
    <row r="553" spans="1:16" ht="16.5" x14ac:dyDescent="0.4">
      <c r="A553" s="4" t="s">
        <v>93</v>
      </c>
      <c r="B553" s="70" t="s">
        <v>105</v>
      </c>
      <c r="C553" s="4" t="s">
        <v>122</v>
      </c>
      <c r="D553" s="4">
        <v>155</v>
      </c>
      <c r="E553" s="4">
        <v>102</v>
      </c>
      <c r="F553" s="5">
        <v>21708</v>
      </c>
      <c r="G553" s="5">
        <v>93717</v>
      </c>
      <c r="H553" s="6">
        <v>-72009</v>
      </c>
      <c r="I553" s="4" t="s">
        <v>101</v>
      </c>
      <c r="J553" s="5">
        <v>2985357</v>
      </c>
      <c r="K553" s="5">
        <v>21708</v>
      </c>
      <c r="L553" s="5">
        <v>5477508</v>
      </c>
      <c r="M553" s="5">
        <v>25037</v>
      </c>
      <c r="N553" s="7" t="s">
        <v>185</v>
      </c>
      <c r="O553" s="7" t="s">
        <v>956</v>
      </c>
      <c r="P553" s="11">
        <v>45468</v>
      </c>
    </row>
    <row r="554" spans="1:16" ht="16.5" x14ac:dyDescent="0.4">
      <c r="A554" s="4" t="s">
        <v>92</v>
      </c>
      <c r="B554" s="70" t="s">
        <v>178</v>
      </c>
      <c r="C554" s="4" t="s">
        <v>111</v>
      </c>
      <c r="D554" s="4">
        <v>184</v>
      </c>
      <c r="E554" s="4">
        <v>144</v>
      </c>
      <c r="F554" s="5">
        <v>57720</v>
      </c>
      <c r="G554" s="5">
        <v>209686</v>
      </c>
      <c r="H554" s="6">
        <v>-151966</v>
      </c>
      <c r="I554" s="4" t="s">
        <v>101</v>
      </c>
      <c r="J554" s="5">
        <v>6396366</v>
      </c>
      <c r="K554" s="5">
        <v>57720</v>
      </c>
      <c r="L554" s="5">
        <v>12328942</v>
      </c>
      <c r="M554" s="5">
        <v>64511</v>
      </c>
      <c r="N554" s="7" t="s">
        <v>296</v>
      </c>
      <c r="O554" s="7" t="s">
        <v>957</v>
      </c>
      <c r="P554" s="11">
        <v>45468</v>
      </c>
    </row>
    <row r="555" spans="1:16" ht="16.5" x14ac:dyDescent="0.4">
      <c r="A555" s="4" t="s">
        <v>93</v>
      </c>
      <c r="B555" s="70" t="s">
        <v>104</v>
      </c>
      <c r="C555" s="4" t="s">
        <v>158</v>
      </c>
      <c r="D555" s="4">
        <v>228</v>
      </c>
      <c r="E555" s="4">
        <v>111</v>
      </c>
      <c r="F555" s="5">
        <v>27771</v>
      </c>
      <c r="G555" s="5">
        <v>115970</v>
      </c>
      <c r="H555" s="6">
        <v>-88199</v>
      </c>
      <c r="I555" s="4" t="s">
        <v>101</v>
      </c>
      <c r="J555" s="5">
        <v>2801337</v>
      </c>
      <c r="K555" s="5">
        <v>27771</v>
      </c>
      <c r="L555" s="5">
        <v>6436775</v>
      </c>
      <c r="M555" s="5">
        <v>32061</v>
      </c>
      <c r="N555" s="7" t="s">
        <v>475</v>
      </c>
      <c r="O555" s="7" t="s">
        <v>958</v>
      </c>
      <c r="P555" s="11">
        <v>45469</v>
      </c>
    </row>
    <row r="556" spans="1:16" ht="16.5" x14ac:dyDescent="0.4">
      <c r="A556" s="4" t="s">
        <v>93</v>
      </c>
      <c r="B556" s="70" t="s">
        <v>105</v>
      </c>
      <c r="C556" s="4" t="s">
        <v>110</v>
      </c>
      <c r="D556" s="4">
        <v>206</v>
      </c>
      <c r="E556" s="4">
        <v>144</v>
      </c>
      <c r="F556" s="5">
        <v>28584</v>
      </c>
      <c r="G556" s="5">
        <v>93717</v>
      </c>
      <c r="H556" s="6">
        <v>-65133</v>
      </c>
      <c r="I556" s="4" t="s">
        <v>101</v>
      </c>
      <c r="J556" s="5">
        <v>4273287</v>
      </c>
      <c r="K556" s="5">
        <v>28584</v>
      </c>
      <c r="L556" s="5">
        <v>7633695</v>
      </c>
      <c r="M556" s="5">
        <v>33087</v>
      </c>
      <c r="N556" s="7" t="s">
        <v>299</v>
      </c>
      <c r="O556" s="7" t="s">
        <v>959</v>
      </c>
      <c r="P556" s="11">
        <v>45469</v>
      </c>
    </row>
    <row r="557" spans="1:16" ht="16.5" x14ac:dyDescent="0.4">
      <c r="A557" s="4" t="s">
        <v>92</v>
      </c>
      <c r="B557" s="70" t="s">
        <v>104</v>
      </c>
      <c r="C557" s="4" t="s">
        <v>111</v>
      </c>
      <c r="D557" s="4">
        <v>156</v>
      </c>
      <c r="E557" s="4">
        <v>126</v>
      </c>
      <c r="F557" s="5">
        <v>48422</v>
      </c>
      <c r="G557" s="5">
        <v>115970</v>
      </c>
      <c r="H557" s="6">
        <v>-67548</v>
      </c>
      <c r="I557" s="4" t="s">
        <v>101</v>
      </c>
      <c r="J557" s="5">
        <v>6338221</v>
      </c>
      <c r="K557" s="5">
        <v>48422</v>
      </c>
      <c r="L557" s="5">
        <v>11628347</v>
      </c>
      <c r="M557" s="5">
        <v>55700</v>
      </c>
      <c r="N557" s="7" t="s">
        <v>578</v>
      </c>
      <c r="O557" s="7" t="s">
        <v>960</v>
      </c>
      <c r="P557" s="11">
        <v>45469</v>
      </c>
    </row>
    <row r="558" spans="1:16" ht="16.5" x14ac:dyDescent="0.4">
      <c r="A558" s="4" t="s">
        <v>92</v>
      </c>
      <c r="B558" s="70" t="s">
        <v>105</v>
      </c>
      <c r="C558" s="4" t="s">
        <v>133</v>
      </c>
      <c r="D558" s="4">
        <v>168</v>
      </c>
      <c r="E558" s="4">
        <v>119</v>
      </c>
      <c r="F558" s="5">
        <v>25561</v>
      </c>
      <c r="G558" s="5">
        <v>93717</v>
      </c>
      <c r="H558" s="6">
        <v>-68156</v>
      </c>
      <c r="I558" s="4" t="s">
        <v>101</v>
      </c>
      <c r="J558" s="5">
        <v>2248794</v>
      </c>
      <c r="K558" s="5">
        <v>25561</v>
      </c>
      <c r="L558" s="5">
        <v>5022698</v>
      </c>
      <c r="M558" s="5">
        <v>32005</v>
      </c>
      <c r="N558" s="7" t="s">
        <v>721</v>
      </c>
      <c r="O558" s="7" t="s">
        <v>961</v>
      </c>
      <c r="P558" s="11">
        <v>45469</v>
      </c>
    </row>
    <row r="559" spans="1:16" ht="16.5" x14ac:dyDescent="0.4">
      <c r="A559" s="4" t="s">
        <v>93</v>
      </c>
      <c r="B559" s="70" t="s">
        <v>178</v>
      </c>
      <c r="C559" s="4" t="s">
        <v>158</v>
      </c>
      <c r="D559" s="4">
        <v>237</v>
      </c>
      <c r="E559" s="4">
        <v>114</v>
      </c>
      <c r="F559" s="5">
        <v>33162</v>
      </c>
      <c r="G559" s="5">
        <v>209686</v>
      </c>
      <c r="H559" s="6">
        <v>-176524</v>
      </c>
      <c r="I559" s="4" t="s">
        <v>101</v>
      </c>
      <c r="J559" s="5">
        <v>1409704</v>
      </c>
      <c r="K559" s="5">
        <v>33162</v>
      </c>
      <c r="L559" s="5">
        <v>5636342</v>
      </c>
      <c r="M559" s="5">
        <v>38323</v>
      </c>
      <c r="N559" s="7" t="s">
        <v>690</v>
      </c>
      <c r="O559" s="7" t="s">
        <v>962</v>
      </c>
      <c r="P559" s="11">
        <v>45470</v>
      </c>
    </row>
    <row r="560" spans="1:16" ht="16.5" x14ac:dyDescent="0.4">
      <c r="A560" s="4" t="s">
        <v>92</v>
      </c>
      <c r="B560" s="70" t="s">
        <v>104</v>
      </c>
      <c r="C560" s="4" t="s">
        <v>133</v>
      </c>
      <c r="D560" s="4">
        <v>206</v>
      </c>
      <c r="E560" s="4">
        <v>159</v>
      </c>
      <c r="F560" s="5">
        <v>45557</v>
      </c>
      <c r="G560" s="5">
        <v>115970</v>
      </c>
      <c r="H560" s="6">
        <v>-70413</v>
      </c>
      <c r="I560" s="4" t="s">
        <v>101</v>
      </c>
      <c r="J560" s="5">
        <v>6641119</v>
      </c>
      <c r="K560" s="5">
        <v>45557</v>
      </c>
      <c r="L560" s="5">
        <v>13697052</v>
      </c>
      <c r="M560" s="5">
        <v>55434</v>
      </c>
      <c r="N560" s="7" t="s">
        <v>467</v>
      </c>
      <c r="O560" s="7" t="s">
        <v>963</v>
      </c>
      <c r="P560" s="11">
        <v>45470</v>
      </c>
    </row>
    <row r="561" spans="1:16" ht="16.5" x14ac:dyDescent="0.4">
      <c r="A561" s="4" t="s">
        <v>92</v>
      </c>
      <c r="B561" s="70" t="s">
        <v>105</v>
      </c>
      <c r="C561" s="4" t="s">
        <v>111</v>
      </c>
      <c r="D561" s="4">
        <v>186</v>
      </c>
      <c r="E561" s="4">
        <v>126</v>
      </c>
      <c r="F561" s="5">
        <v>39919</v>
      </c>
      <c r="G561" s="5">
        <v>93717</v>
      </c>
      <c r="H561" s="6">
        <v>-53798</v>
      </c>
      <c r="I561" s="4" t="s">
        <v>101</v>
      </c>
      <c r="J561" s="5">
        <v>5497099</v>
      </c>
      <c r="K561" s="5">
        <v>39919</v>
      </c>
      <c r="L561" s="5">
        <v>10442176</v>
      </c>
      <c r="M561" s="5">
        <v>44715</v>
      </c>
      <c r="N561" s="7" t="s">
        <v>185</v>
      </c>
      <c r="O561" s="7" t="s">
        <v>964</v>
      </c>
      <c r="P561" s="11">
        <v>45470</v>
      </c>
    </row>
    <row r="562" spans="1:16" ht="16.5" x14ac:dyDescent="0.4">
      <c r="A562" s="4" t="s">
        <v>93</v>
      </c>
      <c r="B562" s="70" t="s">
        <v>178</v>
      </c>
      <c r="C562" s="4" t="s">
        <v>122</v>
      </c>
      <c r="D562" s="4">
        <v>225</v>
      </c>
      <c r="E562" s="4">
        <v>109</v>
      </c>
      <c r="F562" s="5">
        <v>38189</v>
      </c>
      <c r="G562" s="5">
        <v>209686</v>
      </c>
      <c r="H562" s="6">
        <v>-171497</v>
      </c>
      <c r="I562" s="4" t="s">
        <v>101</v>
      </c>
      <c r="J562" s="5">
        <v>4858269</v>
      </c>
      <c r="K562" s="5">
        <v>38189</v>
      </c>
      <c r="L562" s="5">
        <v>8621294</v>
      </c>
      <c r="M562" s="5">
        <v>41649</v>
      </c>
      <c r="N562" s="7" t="s">
        <v>317</v>
      </c>
      <c r="O562" s="7" t="s">
        <v>965</v>
      </c>
      <c r="P562" s="11">
        <v>45471</v>
      </c>
    </row>
    <row r="563" spans="1:16" ht="16.5" x14ac:dyDescent="0.4">
      <c r="A563" s="4" t="s">
        <v>92</v>
      </c>
      <c r="B563" s="70" t="s">
        <v>178</v>
      </c>
      <c r="C563" s="4" t="s">
        <v>110</v>
      </c>
      <c r="D563" s="4">
        <v>305</v>
      </c>
      <c r="E563" s="4">
        <v>204</v>
      </c>
      <c r="F563" s="5">
        <v>76412</v>
      </c>
      <c r="G563" s="5">
        <v>209686</v>
      </c>
      <c r="H563" s="6">
        <v>-133274</v>
      </c>
      <c r="I563" s="4" t="s">
        <v>101</v>
      </c>
      <c r="J563" s="5">
        <v>4629063</v>
      </c>
      <c r="K563" s="5">
        <v>76412</v>
      </c>
      <c r="L563" s="5">
        <v>12485567</v>
      </c>
      <c r="M563" s="5">
        <v>89002</v>
      </c>
      <c r="N563" s="7" t="s">
        <v>138</v>
      </c>
      <c r="O563" s="7" t="s">
        <v>966</v>
      </c>
      <c r="P563" s="11">
        <v>45471</v>
      </c>
    </row>
    <row r="564" spans="1:16" ht="16.5" x14ac:dyDescent="0.4">
      <c r="A564" s="4" t="s">
        <v>93</v>
      </c>
      <c r="B564" s="70" t="s">
        <v>178</v>
      </c>
      <c r="C564" s="4" t="s">
        <v>122</v>
      </c>
      <c r="D564" s="4">
        <v>225</v>
      </c>
      <c r="E564" s="4">
        <v>112</v>
      </c>
      <c r="F564" s="5">
        <v>42317</v>
      </c>
      <c r="G564" s="5">
        <v>209686</v>
      </c>
      <c r="H564" s="6">
        <v>-167369</v>
      </c>
      <c r="I564" s="4" t="s">
        <v>101</v>
      </c>
      <c r="J564" s="5">
        <v>4659038</v>
      </c>
      <c r="K564" s="5">
        <v>42317</v>
      </c>
      <c r="L564" s="5">
        <v>11472417</v>
      </c>
      <c r="M564" s="5">
        <v>47391</v>
      </c>
      <c r="N564" s="7" t="s">
        <v>163</v>
      </c>
      <c r="O564" s="7" t="s">
        <v>967</v>
      </c>
      <c r="P564" s="11">
        <v>45472</v>
      </c>
    </row>
    <row r="565" spans="1:16" ht="16.5" x14ac:dyDescent="0.4">
      <c r="A565" s="4" t="s">
        <v>92</v>
      </c>
      <c r="B565" s="70" t="s">
        <v>178</v>
      </c>
      <c r="C565" s="4" t="s">
        <v>158</v>
      </c>
      <c r="D565" s="4">
        <v>225</v>
      </c>
      <c r="E565" s="4">
        <v>110</v>
      </c>
      <c r="F565" s="5">
        <v>58652</v>
      </c>
      <c r="G565" s="5">
        <v>209686</v>
      </c>
      <c r="H565" s="6">
        <v>-151034</v>
      </c>
      <c r="I565" s="4" t="s">
        <v>101</v>
      </c>
      <c r="J565" s="5">
        <v>4130399</v>
      </c>
      <c r="K565" s="5">
        <v>58652</v>
      </c>
      <c r="L565" s="5">
        <v>7866034</v>
      </c>
      <c r="M565" s="5">
        <v>66115</v>
      </c>
      <c r="N565" s="7" t="s">
        <v>694</v>
      </c>
      <c r="O565" s="7" t="s">
        <v>968</v>
      </c>
      <c r="P565" s="11">
        <v>45472</v>
      </c>
    </row>
    <row r="566" spans="1:16" ht="16.5" x14ac:dyDescent="0.4">
      <c r="A566" s="4" t="s">
        <v>93</v>
      </c>
      <c r="B566" s="70" t="s">
        <v>178</v>
      </c>
      <c r="C566" s="4" t="s">
        <v>133</v>
      </c>
      <c r="D566" s="4">
        <v>238</v>
      </c>
      <c r="E566" s="4">
        <v>140</v>
      </c>
      <c r="F566" s="5">
        <v>44453</v>
      </c>
      <c r="G566" s="5">
        <v>209686</v>
      </c>
      <c r="H566" s="6">
        <v>-165233</v>
      </c>
      <c r="I566" s="4" t="s">
        <v>101</v>
      </c>
      <c r="J566" s="5">
        <v>4877507</v>
      </c>
      <c r="K566" s="5">
        <v>44453</v>
      </c>
      <c r="L566" s="5">
        <v>10109549</v>
      </c>
      <c r="M566" s="5">
        <v>51286</v>
      </c>
      <c r="N566" s="7" t="s">
        <v>163</v>
      </c>
      <c r="O566" s="7" t="s">
        <v>969</v>
      </c>
      <c r="P566" s="11">
        <v>45473</v>
      </c>
    </row>
    <row r="567" spans="1:16" ht="16.5" x14ac:dyDescent="0.4">
      <c r="A567" s="4" t="s">
        <v>92</v>
      </c>
      <c r="B567" s="70" t="s">
        <v>178</v>
      </c>
      <c r="C567" s="4" t="s">
        <v>111</v>
      </c>
      <c r="D567" s="4">
        <v>185</v>
      </c>
      <c r="E567" s="4">
        <v>127</v>
      </c>
      <c r="F567" s="5">
        <v>57786</v>
      </c>
      <c r="G567" s="5">
        <v>209686</v>
      </c>
      <c r="H567" s="6">
        <v>-151900</v>
      </c>
      <c r="I567" s="4" t="s">
        <v>101</v>
      </c>
      <c r="J567" s="5">
        <v>5534873</v>
      </c>
      <c r="K567" s="5">
        <v>57786</v>
      </c>
      <c r="L567" s="5">
        <v>10928888</v>
      </c>
      <c r="M567" s="5">
        <v>64017</v>
      </c>
      <c r="N567" s="7" t="s">
        <v>508</v>
      </c>
      <c r="O567" s="7" t="s">
        <v>970</v>
      </c>
      <c r="P567" s="11">
        <v>45473</v>
      </c>
    </row>
    <row r="568" spans="1:16" ht="16.5" x14ac:dyDescent="0.4">
      <c r="A568" s="4" t="s">
        <v>93</v>
      </c>
      <c r="B568" s="70" t="s">
        <v>104</v>
      </c>
      <c r="C568" s="4" t="s">
        <v>110</v>
      </c>
      <c r="D568" s="4">
        <v>194</v>
      </c>
      <c r="E568" s="4">
        <v>116</v>
      </c>
      <c r="F568" s="5">
        <v>35530</v>
      </c>
      <c r="G568" s="5">
        <v>115970</v>
      </c>
      <c r="H568" s="6">
        <v>-80440</v>
      </c>
      <c r="I568" s="4" t="s">
        <v>101</v>
      </c>
      <c r="J568" s="5">
        <v>3345351</v>
      </c>
      <c r="K568" s="5">
        <v>35530</v>
      </c>
      <c r="L568" s="5">
        <v>7822661</v>
      </c>
      <c r="M568" s="5">
        <v>42022</v>
      </c>
      <c r="N568" s="7" t="s">
        <v>601</v>
      </c>
      <c r="O568" s="7" t="s">
        <v>979</v>
      </c>
      <c r="P568" s="11">
        <v>45474</v>
      </c>
    </row>
    <row r="569" spans="1:16" ht="16.5" x14ac:dyDescent="0.4">
      <c r="A569" s="4" t="s">
        <v>93</v>
      </c>
      <c r="B569" s="70" t="s">
        <v>105</v>
      </c>
      <c r="C569" s="4" t="s">
        <v>122</v>
      </c>
      <c r="D569" s="4">
        <v>210</v>
      </c>
      <c r="E569" s="4">
        <v>98</v>
      </c>
      <c r="F569" s="5">
        <v>21547</v>
      </c>
      <c r="G569" s="5">
        <v>93717</v>
      </c>
      <c r="H569" s="6">
        <v>-72170</v>
      </c>
      <c r="I569" s="4" t="s">
        <v>101</v>
      </c>
      <c r="J569" s="5">
        <v>3108604</v>
      </c>
      <c r="K569" s="5">
        <v>21547</v>
      </c>
      <c r="L569" s="5">
        <v>5786970</v>
      </c>
      <c r="M569" s="5">
        <v>24420</v>
      </c>
      <c r="N569" s="7" t="s">
        <v>467</v>
      </c>
      <c r="O569" s="7" t="s">
        <v>980</v>
      </c>
      <c r="P569" s="11">
        <v>45474</v>
      </c>
    </row>
    <row r="570" spans="1:16" ht="16.5" x14ac:dyDescent="0.4">
      <c r="A570" s="4" t="s">
        <v>92</v>
      </c>
      <c r="B570" s="70" t="s">
        <v>104</v>
      </c>
      <c r="C570" s="4" t="s">
        <v>158</v>
      </c>
      <c r="D570" s="4">
        <v>184</v>
      </c>
      <c r="E570" s="4">
        <v>104</v>
      </c>
      <c r="F570" s="5">
        <v>36299</v>
      </c>
      <c r="G570" s="5">
        <v>115970</v>
      </c>
      <c r="H570" s="6">
        <v>-79671</v>
      </c>
      <c r="I570" s="4" t="s">
        <v>101</v>
      </c>
      <c r="J570" s="5">
        <v>2621146</v>
      </c>
      <c r="K570" s="5">
        <v>36299</v>
      </c>
      <c r="L570" s="5">
        <v>5680686</v>
      </c>
      <c r="M570" s="5">
        <v>42311</v>
      </c>
      <c r="N570" s="7" t="s">
        <v>676</v>
      </c>
      <c r="O570" s="7" t="s">
        <v>981</v>
      </c>
      <c r="P570" s="11">
        <v>45474</v>
      </c>
    </row>
    <row r="571" spans="1:16" ht="16.5" x14ac:dyDescent="0.4">
      <c r="A571" s="4" t="s">
        <v>92</v>
      </c>
      <c r="B571" s="70" t="s">
        <v>105</v>
      </c>
      <c r="C571" s="4" t="s">
        <v>133</v>
      </c>
      <c r="D571" s="4">
        <v>181</v>
      </c>
      <c r="E571" s="4">
        <v>112</v>
      </c>
      <c r="F571" s="5">
        <v>37626</v>
      </c>
      <c r="G571" s="5">
        <v>93717</v>
      </c>
      <c r="H571" s="6">
        <v>-56091</v>
      </c>
      <c r="I571" s="4" t="s">
        <v>101</v>
      </c>
      <c r="J571" s="5">
        <v>5657849</v>
      </c>
      <c r="K571" s="5">
        <v>37626</v>
      </c>
      <c r="L571" s="5">
        <v>9685065</v>
      </c>
      <c r="M571" s="5">
        <v>45096</v>
      </c>
      <c r="N571" s="7" t="s">
        <v>299</v>
      </c>
      <c r="O571" s="7" t="s">
        <v>982</v>
      </c>
      <c r="P571" s="11">
        <v>45474</v>
      </c>
    </row>
    <row r="572" spans="1:16" ht="16.5" x14ac:dyDescent="0.4">
      <c r="A572" s="4" t="s">
        <v>93</v>
      </c>
      <c r="B572" s="70" t="s">
        <v>104</v>
      </c>
      <c r="C572" s="4" t="s">
        <v>110</v>
      </c>
      <c r="D572" s="4">
        <v>211</v>
      </c>
      <c r="E572" s="4">
        <v>149</v>
      </c>
      <c r="F572" s="5">
        <v>35036</v>
      </c>
      <c r="G572" s="5">
        <v>115970</v>
      </c>
      <c r="H572" s="6">
        <v>-80934</v>
      </c>
      <c r="I572" s="4" t="s">
        <v>101</v>
      </c>
      <c r="J572" s="5">
        <v>3460884</v>
      </c>
      <c r="K572" s="5">
        <v>35036</v>
      </c>
      <c r="L572" s="5">
        <v>8591806</v>
      </c>
      <c r="M572" s="5">
        <v>42099</v>
      </c>
      <c r="N572" s="7" t="s">
        <v>665</v>
      </c>
      <c r="O572" s="7" t="s">
        <v>985</v>
      </c>
      <c r="P572" s="11">
        <v>45475</v>
      </c>
    </row>
    <row r="573" spans="1:16" ht="16.5" x14ac:dyDescent="0.4">
      <c r="A573" s="4" t="s">
        <v>93</v>
      </c>
      <c r="B573" s="70" t="s">
        <v>105</v>
      </c>
      <c r="C573" s="4" t="s">
        <v>122</v>
      </c>
      <c r="D573" s="4">
        <v>170</v>
      </c>
      <c r="E573" s="4">
        <v>101</v>
      </c>
      <c r="F573" s="5">
        <v>20987</v>
      </c>
      <c r="G573" s="5">
        <v>93717</v>
      </c>
      <c r="H573" s="6">
        <v>-72730</v>
      </c>
      <c r="I573" s="4" t="s">
        <v>101</v>
      </c>
      <c r="J573" s="5">
        <v>3297724</v>
      </c>
      <c r="K573" s="5">
        <v>20987</v>
      </c>
      <c r="L573" s="5">
        <v>5618071</v>
      </c>
      <c r="M573" s="5">
        <v>23258</v>
      </c>
      <c r="N573" s="7" t="s">
        <v>419</v>
      </c>
      <c r="O573" s="7" t="s">
        <v>986</v>
      </c>
      <c r="P573" s="11">
        <v>45475</v>
      </c>
    </row>
    <row r="574" spans="1:16" ht="16.5" x14ac:dyDescent="0.4">
      <c r="A574" s="4" t="s">
        <v>92</v>
      </c>
      <c r="B574" s="70" t="s">
        <v>104</v>
      </c>
      <c r="C574" s="4" t="s">
        <v>111</v>
      </c>
      <c r="D574" s="4">
        <v>158</v>
      </c>
      <c r="E574" s="4">
        <v>113</v>
      </c>
      <c r="F574" s="5">
        <v>36303</v>
      </c>
      <c r="G574" s="5">
        <v>115970</v>
      </c>
      <c r="H574" s="6">
        <v>-79667</v>
      </c>
      <c r="I574" s="4" t="s">
        <v>101</v>
      </c>
      <c r="J574" s="5">
        <v>3896072</v>
      </c>
      <c r="K574" s="5">
        <v>36303</v>
      </c>
      <c r="L574" s="5">
        <v>8389903</v>
      </c>
      <c r="M574" s="5">
        <v>41153</v>
      </c>
      <c r="N574" s="7" t="s">
        <v>323</v>
      </c>
      <c r="O574" s="7" t="s">
        <v>987</v>
      </c>
      <c r="P574" s="11">
        <v>45475</v>
      </c>
    </row>
    <row r="575" spans="1:16" ht="16.5" x14ac:dyDescent="0.4">
      <c r="A575" s="4" t="s">
        <v>92</v>
      </c>
      <c r="B575" s="70" t="s">
        <v>105</v>
      </c>
      <c r="C575" s="4" t="s">
        <v>133</v>
      </c>
      <c r="D575" s="4">
        <v>176</v>
      </c>
      <c r="E575" s="4">
        <v>132</v>
      </c>
      <c r="F575" s="5">
        <v>30755</v>
      </c>
      <c r="G575" s="5">
        <v>93717</v>
      </c>
      <c r="H575" s="6">
        <v>-62962</v>
      </c>
      <c r="I575" s="4" t="s">
        <v>101</v>
      </c>
      <c r="J575" s="5">
        <v>3270381</v>
      </c>
      <c r="K575" s="5">
        <v>30755</v>
      </c>
      <c r="L575" s="5">
        <v>7698194</v>
      </c>
      <c r="M575" s="5">
        <v>37308</v>
      </c>
      <c r="N575" s="7" t="s">
        <v>118</v>
      </c>
      <c r="O575" s="7" t="s">
        <v>988</v>
      </c>
      <c r="P575" s="11">
        <v>45475</v>
      </c>
    </row>
    <row r="576" spans="1:16" ht="16.5" x14ac:dyDescent="0.4">
      <c r="A576" s="4" t="s">
        <v>93</v>
      </c>
      <c r="B576" s="70" t="s">
        <v>104</v>
      </c>
      <c r="C576" s="4" t="s">
        <v>158</v>
      </c>
      <c r="D576" s="4">
        <v>233</v>
      </c>
      <c r="E576" s="4">
        <v>107</v>
      </c>
      <c r="F576" s="5">
        <v>27413</v>
      </c>
      <c r="G576" s="5">
        <v>115970</v>
      </c>
      <c r="H576" s="6">
        <v>-88557</v>
      </c>
      <c r="I576" s="4" t="s">
        <v>101</v>
      </c>
      <c r="J576" s="5">
        <v>838326</v>
      </c>
      <c r="K576" s="5">
        <v>27413</v>
      </c>
      <c r="L576" s="5">
        <v>4758431</v>
      </c>
      <c r="M576" s="5">
        <v>32436</v>
      </c>
      <c r="N576" s="7" t="s">
        <v>990</v>
      </c>
      <c r="O576" s="7" t="s">
        <v>991</v>
      </c>
      <c r="P576" s="11">
        <v>45476</v>
      </c>
    </row>
    <row r="577" spans="1:16" ht="16.5" x14ac:dyDescent="0.4">
      <c r="A577" s="4" t="s">
        <v>93</v>
      </c>
      <c r="B577" s="70" t="s">
        <v>105</v>
      </c>
      <c r="C577" s="4" t="s">
        <v>110</v>
      </c>
      <c r="D577" s="4">
        <v>216</v>
      </c>
      <c r="E577" s="4">
        <v>145</v>
      </c>
      <c r="F577" s="5">
        <v>30851</v>
      </c>
      <c r="G577" s="5">
        <v>93717</v>
      </c>
      <c r="H577" s="6">
        <v>-62866</v>
      </c>
      <c r="I577" s="4" t="s">
        <v>101</v>
      </c>
      <c r="J577" s="5">
        <v>3513637</v>
      </c>
      <c r="K577" s="5">
        <v>30851</v>
      </c>
      <c r="L577" s="5">
        <v>6505136</v>
      </c>
      <c r="M577" s="5">
        <v>34512</v>
      </c>
      <c r="N577" s="7" t="s">
        <v>334</v>
      </c>
      <c r="O577" s="7" t="s">
        <v>992</v>
      </c>
      <c r="P577" s="11">
        <v>45476</v>
      </c>
    </row>
    <row r="578" spans="1:16" ht="16.5" x14ac:dyDescent="0.4">
      <c r="A578" s="4" t="s">
        <v>92</v>
      </c>
      <c r="B578" s="70" t="s">
        <v>104</v>
      </c>
      <c r="C578" s="4" t="s">
        <v>133</v>
      </c>
      <c r="D578" s="4">
        <v>235</v>
      </c>
      <c r="E578" s="4">
        <v>167</v>
      </c>
      <c r="F578" s="5">
        <v>50837</v>
      </c>
      <c r="G578" s="5">
        <v>115970</v>
      </c>
      <c r="H578" s="6">
        <v>-65133</v>
      </c>
      <c r="I578" s="4" t="s">
        <v>101</v>
      </c>
      <c r="J578" s="5">
        <v>4245316</v>
      </c>
      <c r="K578" s="5">
        <v>50837</v>
      </c>
      <c r="L578" s="5">
        <v>9345030</v>
      </c>
      <c r="M578" s="5">
        <v>62007</v>
      </c>
      <c r="N578" s="7" t="s">
        <v>607</v>
      </c>
      <c r="O578" s="7" t="s">
        <v>993</v>
      </c>
      <c r="P578" s="11">
        <v>45476</v>
      </c>
    </row>
    <row r="579" spans="1:16" ht="16.5" x14ac:dyDescent="0.4">
      <c r="A579" s="4" t="s">
        <v>92</v>
      </c>
      <c r="B579" s="70" t="s">
        <v>105</v>
      </c>
      <c r="C579" s="4" t="s">
        <v>111</v>
      </c>
      <c r="D579" s="4">
        <v>158</v>
      </c>
      <c r="E579" s="4">
        <v>125</v>
      </c>
      <c r="F579" s="5">
        <v>38849</v>
      </c>
      <c r="G579" s="5">
        <v>93717</v>
      </c>
      <c r="H579" s="6">
        <v>-54868</v>
      </c>
      <c r="I579" s="4" t="s">
        <v>101</v>
      </c>
      <c r="J579" s="5">
        <v>3988591</v>
      </c>
      <c r="K579" s="5">
        <v>38849</v>
      </c>
      <c r="L579" s="5">
        <v>6905246</v>
      </c>
      <c r="M579" s="5">
        <v>43504</v>
      </c>
      <c r="N579" s="7" t="s">
        <v>815</v>
      </c>
      <c r="O579" s="7" t="s">
        <v>994</v>
      </c>
      <c r="P579" s="11">
        <v>45476</v>
      </c>
    </row>
    <row r="580" spans="1:16" ht="16.5" x14ac:dyDescent="0.4">
      <c r="A580" s="4" t="s">
        <v>93</v>
      </c>
      <c r="B580" s="70" t="s">
        <v>104</v>
      </c>
      <c r="C580" s="4" t="s">
        <v>110</v>
      </c>
      <c r="D580" s="4">
        <v>188</v>
      </c>
      <c r="E580" s="4">
        <v>135</v>
      </c>
      <c r="F580" s="5">
        <v>41695</v>
      </c>
      <c r="G580" s="5">
        <v>115970</v>
      </c>
      <c r="H580" s="6">
        <v>-74275</v>
      </c>
      <c r="I580" s="4" t="s">
        <v>101</v>
      </c>
      <c r="J580" s="5">
        <v>3391211</v>
      </c>
      <c r="K580" s="5">
        <v>41695</v>
      </c>
      <c r="L580" s="5">
        <v>9859424</v>
      </c>
      <c r="M580" s="5">
        <v>49186</v>
      </c>
      <c r="N580" s="7" t="s">
        <v>741</v>
      </c>
      <c r="O580" s="7" t="s">
        <v>995</v>
      </c>
      <c r="P580" s="11">
        <v>45477</v>
      </c>
    </row>
    <row r="581" spans="1:16" ht="16.5" x14ac:dyDescent="0.4">
      <c r="A581" s="4" t="s">
        <v>93</v>
      </c>
      <c r="B581" s="70" t="s">
        <v>105</v>
      </c>
      <c r="C581" s="4" t="s">
        <v>158</v>
      </c>
      <c r="D581" s="4">
        <v>244</v>
      </c>
      <c r="E581" s="4">
        <v>103</v>
      </c>
      <c r="F581" s="5">
        <v>21673</v>
      </c>
      <c r="G581" s="5">
        <v>93717</v>
      </c>
      <c r="H581" s="6">
        <v>-72044</v>
      </c>
      <c r="I581" s="4" t="s">
        <v>101</v>
      </c>
      <c r="J581" s="5">
        <v>926764</v>
      </c>
      <c r="K581" s="5">
        <v>21673</v>
      </c>
      <c r="L581" s="5">
        <v>3882568</v>
      </c>
      <c r="M581" s="5">
        <v>25832</v>
      </c>
      <c r="N581" s="7" t="s">
        <v>354</v>
      </c>
      <c r="O581" s="7" t="s">
        <v>996</v>
      </c>
      <c r="P581" s="11">
        <v>45477</v>
      </c>
    </row>
    <row r="582" spans="1:16" ht="16.5" x14ac:dyDescent="0.4">
      <c r="A582" s="4" t="s">
        <v>92</v>
      </c>
      <c r="B582" s="70" t="s">
        <v>178</v>
      </c>
      <c r="C582" s="4" t="s">
        <v>111</v>
      </c>
      <c r="D582" s="4">
        <v>186</v>
      </c>
      <c r="E582" s="4">
        <v>144</v>
      </c>
      <c r="F582" s="5">
        <v>60161</v>
      </c>
      <c r="G582" s="5">
        <v>209686</v>
      </c>
      <c r="H582" s="6">
        <v>-149525</v>
      </c>
      <c r="I582" s="4" t="s">
        <v>101</v>
      </c>
      <c r="J582" s="5">
        <v>6826164</v>
      </c>
      <c r="K582" s="5">
        <v>60161</v>
      </c>
      <c r="L582" s="5">
        <v>14580376</v>
      </c>
      <c r="M582" s="5">
        <v>68199</v>
      </c>
      <c r="N582" s="7" t="s">
        <v>334</v>
      </c>
      <c r="O582" s="7" t="s">
        <v>997</v>
      </c>
      <c r="P582" s="11">
        <v>45477</v>
      </c>
    </row>
    <row r="583" spans="1:16" ht="16.5" x14ac:dyDescent="0.4">
      <c r="A583" s="4" t="s">
        <v>93</v>
      </c>
      <c r="B583" s="70" t="s">
        <v>104</v>
      </c>
      <c r="C583" s="4" t="s">
        <v>122</v>
      </c>
      <c r="D583" s="4">
        <v>158</v>
      </c>
      <c r="E583" s="4">
        <v>102</v>
      </c>
      <c r="F583" s="5">
        <v>26005</v>
      </c>
      <c r="G583" s="5">
        <v>115970</v>
      </c>
      <c r="H583" s="6">
        <v>-89965</v>
      </c>
      <c r="I583" s="4" t="s">
        <v>101</v>
      </c>
      <c r="J583" s="5">
        <v>3552382</v>
      </c>
      <c r="K583" s="5">
        <v>26005</v>
      </c>
      <c r="L583" s="5">
        <v>7074352</v>
      </c>
      <c r="M583" s="5">
        <v>29190</v>
      </c>
      <c r="N583" s="7" t="s">
        <v>185</v>
      </c>
      <c r="O583" s="7" t="s">
        <v>998</v>
      </c>
      <c r="P583" s="11">
        <v>45478</v>
      </c>
    </row>
    <row r="584" spans="1:16" ht="16.5" x14ac:dyDescent="0.4">
      <c r="A584" s="4" t="s">
        <v>93</v>
      </c>
      <c r="B584" s="70" t="s">
        <v>105</v>
      </c>
      <c r="C584" s="4" t="s">
        <v>133</v>
      </c>
      <c r="D584" s="4">
        <v>154</v>
      </c>
      <c r="E584" s="4">
        <v>106</v>
      </c>
      <c r="F584" s="5">
        <v>21214</v>
      </c>
      <c r="G584" s="5">
        <v>93717</v>
      </c>
      <c r="H584" s="6">
        <v>-72503</v>
      </c>
      <c r="I584" s="4" t="s">
        <v>101</v>
      </c>
      <c r="J584" s="5">
        <v>2861883</v>
      </c>
      <c r="K584" s="5">
        <v>21214</v>
      </c>
      <c r="L584" s="5">
        <v>5370363</v>
      </c>
      <c r="M584" s="5">
        <v>24350</v>
      </c>
      <c r="N584" s="7" t="s">
        <v>438</v>
      </c>
      <c r="O584" s="7" t="s">
        <v>999</v>
      </c>
      <c r="P584" s="11">
        <v>45478</v>
      </c>
    </row>
    <row r="585" spans="1:16" ht="16.5" x14ac:dyDescent="0.4">
      <c r="A585" s="4" t="s">
        <v>92</v>
      </c>
      <c r="B585" s="70" t="s">
        <v>104</v>
      </c>
      <c r="C585" s="4" t="s">
        <v>158</v>
      </c>
      <c r="D585" s="4">
        <v>190</v>
      </c>
      <c r="E585" s="4">
        <v>112</v>
      </c>
      <c r="F585" s="5">
        <v>35917</v>
      </c>
      <c r="G585" s="5">
        <v>115970</v>
      </c>
      <c r="H585" s="6">
        <v>-80053</v>
      </c>
      <c r="I585" s="4" t="s">
        <v>101</v>
      </c>
      <c r="J585" s="5">
        <v>2701999</v>
      </c>
      <c r="K585" s="5">
        <v>35917</v>
      </c>
      <c r="L585" s="5">
        <v>6204513</v>
      </c>
      <c r="M585" s="5">
        <v>42211</v>
      </c>
      <c r="N585" s="7" t="s">
        <v>405</v>
      </c>
      <c r="O585" s="7" t="s">
        <v>1000</v>
      </c>
      <c r="P585" s="11">
        <v>45478</v>
      </c>
    </row>
    <row r="586" spans="1:16" ht="16.5" x14ac:dyDescent="0.4">
      <c r="A586" s="4" t="s">
        <v>92</v>
      </c>
      <c r="B586" s="70" t="s">
        <v>105</v>
      </c>
      <c r="C586" s="4" t="s">
        <v>111</v>
      </c>
      <c r="D586" s="4">
        <v>161</v>
      </c>
      <c r="E586" s="4">
        <v>118</v>
      </c>
      <c r="F586" s="5">
        <v>41863</v>
      </c>
      <c r="G586" s="5">
        <v>93717</v>
      </c>
      <c r="H586" s="6">
        <v>-51854</v>
      </c>
      <c r="I586" s="4" t="s">
        <v>101</v>
      </c>
      <c r="J586" s="5">
        <v>6465334</v>
      </c>
      <c r="K586" s="5">
        <v>41863</v>
      </c>
      <c r="L586" s="5">
        <v>10146590</v>
      </c>
      <c r="M586" s="5">
        <v>46157</v>
      </c>
      <c r="N586" s="7" t="s">
        <v>699</v>
      </c>
      <c r="O586" s="7" t="s">
        <v>1001</v>
      </c>
      <c r="P586" s="11">
        <v>45478</v>
      </c>
    </row>
    <row r="587" spans="1:16" ht="16.5" x14ac:dyDescent="0.4">
      <c r="A587" s="4" t="s">
        <v>93</v>
      </c>
      <c r="B587" s="70" t="s">
        <v>104</v>
      </c>
      <c r="C587" s="4" t="s">
        <v>133</v>
      </c>
      <c r="D587" s="4">
        <v>180</v>
      </c>
      <c r="E587" s="4">
        <v>136</v>
      </c>
      <c r="F587" s="5">
        <v>33125</v>
      </c>
      <c r="G587" s="5">
        <v>115970</v>
      </c>
      <c r="H587" s="6">
        <v>-82845</v>
      </c>
      <c r="I587" s="4" t="s">
        <v>101</v>
      </c>
      <c r="J587" s="5">
        <v>3916116</v>
      </c>
      <c r="K587" s="5">
        <v>33125</v>
      </c>
      <c r="L587" s="5">
        <v>7594384</v>
      </c>
      <c r="M587" s="5">
        <v>37594</v>
      </c>
      <c r="N587" s="7" t="s">
        <v>364</v>
      </c>
      <c r="O587" s="7" t="s">
        <v>1002</v>
      </c>
      <c r="P587" s="11">
        <v>45479</v>
      </c>
    </row>
    <row r="588" spans="1:16" ht="16.5" x14ac:dyDescent="0.4">
      <c r="A588" s="4" t="s">
        <v>93</v>
      </c>
      <c r="B588" s="70" t="s">
        <v>105</v>
      </c>
      <c r="C588" s="4" t="s">
        <v>122</v>
      </c>
      <c r="D588" s="4">
        <v>168</v>
      </c>
      <c r="E588" s="4">
        <v>102</v>
      </c>
      <c r="F588" s="5">
        <v>16091</v>
      </c>
      <c r="G588" s="5">
        <v>93717</v>
      </c>
      <c r="H588" s="6">
        <v>-77626</v>
      </c>
      <c r="I588" s="4" t="s">
        <v>101</v>
      </c>
      <c r="J588" s="5">
        <v>678547</v>
      </c>
      <c r="K588" s="5">
        <v>16091</v>
      </c>
      <c r="L588" s="5">
        <v>2941322</v>
      </c>
      <c r="M588" s="5">
        <v>18644</v>
      </c>
      <c r="N588" s="7" t="s">
        <v>1003</v>
      </c>
      <c r="O588" s="7" t="s">
        <v>1004</v>
      </c>
      <c r="P588" s="11">
        <v>45479</v>
      </c>
    </row>
    <row r="589" spans="1:16" ht="16.5" x14ac:dyDescent="0.4">
      <c r="A589" s="4" t="s">
        <v>92</v>
      </c>
      <c r="B589" s="70" t="s">
        <v>178</v>
      </c>
      <c r="C589" s="4" t="s">
        <v>158</v>
      </c>
      <c r="D589" s="4">
        <v>222</v>
      </c>
      <c r="E589" s="4">
        <v>121</v>
      </c>
      <c r="F589" s="5">
        <v>56411</v>
      </c>
      <c r="G589" s="5">
        <v>209686</v>
      </c>
      <c r="H589" s="6">
        <v>-153275</v>
      </c>
      <c r="I589" s="4" t="s">
        <v>101</v>
      </c>
      <c r="J589" s="5">
        <v>3628119</v>
      </c>
      <c r="K589" s="5">
        <v>56411</v>
      </c>
      <c r="L589" s="5">
        <v>7472251</v>
      </c>
      <c r="M589" s="5">
        <v>64676</v>
      </c>
      <c r="N589" s="7" t="s">
        <v>1005</v>
      </c>
      <c r="O589" s="7" t="s">
        <v>1006</v>
      </c>
      <c r="P589" s="11">
        <v>45479</v>
      </c>
    </row>
    <row r="590" spans="1:16" ht="16.5" x14ac:dyDescent="0.4">
      <c r="A590" s="4" t="s">
        <v>93</v>
      </c>
      <c r="B590" s="70" t="s">
        <v>104</v>
      </c>
      <c r="C590" s="4" t="s">
        <v>110</v>
      </c>
      <c r="D590" s="4">
        <v>189</v>
      </c>
      <c r="E590" s="4">
        <v>119</v>
      </c>
      <c r="F590" s="5">
        <v>36876</v>
      </c>
      <c r="G590" s="5">
        <v>115970</v>
      </c>
      <c r="H590" s="6">
        <v>-79094</v>
      </c>
      <c r="I590" s="4" t="s">
        <v>101</v>
      </c>
      <c r="J590" s="5">
        <v>3661740</v>
      </c>
      <c r="K590" s="5">
        <v>36876</v>
      </c>
      <c r="L590" s="5">
        <v>9970205</v>
      </c>
      <c r="M590" s="5">
        <v>42986</v>
      </c>
      <c r="N590" s="7" t="s">
        <v>665</v>
      </c>
      <c r="O590" s="7" t="s">
        <v>1007</v>
      </c>
      <c r="P590" s="11">
        <v>45480</v>
      </c>
    </row>
    <row r="591" spans="1:16" ht="16.5" x14ac:dyDescent="0.4">
      <c r="A591" s="4" t="s">
        <v>93</v>
      </c>
      <c r="B591" s="70" t="s">
        <v>105</v>
      </c>
      <c r="C591" s="4" t="s">
        <v>122</v>
      </c>
      <c r="D591" s="4">
        <v>188</v>
      </c>
      <c r="E591" s="4">
        <v>102</v>
      </c>
      <c r="F591" s="5">
        <v>22896</v>
      </c>
      <c r="G591" s="5">
        <v>93717</v>
      </c>
      <c r="H591" s="6">
        <v>-70821</v>
      </c>
      <c r="I591" s="4" t="s">
        <v>101</v>
      </c>
      <c r="J591" s="5">
        <v>3614567</v>
      </c>
      <c r="K591" s="5">
        <v>22896</v>
      </c>
      <c r="L591" s="5">
        <v>8508466</v>
      </c>
      <c r="M591" s="5">
        <v>26281</v>
      </c>
      <c r="N591" s="7" t="s">
        <v>389</v>
      </c>
      <c r="O591" s="7" t="s">
        <v>1008</v>
      </c>
      <c r="P591" s="11">
        <v>45480</v>
      </c>
    </row>
    <row r="592" spans="1:16" ht="16.5" x14ac:dyDescent="0.4">
      <c r="A592" s="4" t="s">
        <v>92</v>
      </c>
      <c r="B592" s="70" t="s">
        <v>178</v>
      </c>
      <c r="C592" s="4" t="s">
        <v>158</v>
      </c>
      <c r="D592" s="4">
        <v>228</v>
      </c>
      <c r="E592" s="4">
        <v>106</v>
      </c>
      <c r="F592" s="5">
        <v>58253</v>
      </c>
      <c r="G592" s="5">
        <v>209686</v>
      </c>
      <c r="H592" s="6">
        <v>-151433</v>
      </c>
      <c r="I592" s="4" t="s">
        <v>101</v>
      </c>
      <c r="J592" s="5">
        <v>6279004</v>
      </c>
      <c r="K592" s="5">
        <v>58253</v>
      </c>
      <c r="L592" s="5">
        <v>10429583</v>
      </c>
      <c r="M592" s="5">
        <v>67416</v>
      </c>
      <c r="N592" s="7" t="s">
        <v>323</v>
      </c>
      <c r="O592" s="7" t="s">
        <v>1009</v>
      </c>
      <c r="P592" s="11">
        <v>45480</v>
      </c>
    </row>
    <row r="593" spans="1:16" ht="16.5" x14ac:dyDescent="0.4">
      <c r="A593" s="4" t="s">
        <v>93</v>
      </c>
      <c r="B593" s="70" t="s">
        <v>104</v>
      </c>
      <c r="C593" s="4" t="s">
        <v>110</v>
      </c>
      <c r="D593" s="4">
        <v>201</v>
      </c>
      <c r="E593" s="4">
        <v>130</v>
      </c>
      <c r="F593" s="5">
        <v>41474</v>
      </c>
      <c r="G593" s="5">
        <v>115970</v>
      </c>
      <c r="H593" s="6">
        <v>-74496</v>
      </c>
      <c r="I593" s="4" t="s">
        <v>101</v>
      </c>
      <c r="J593" s="5">
        <v>3680091</v>
      </c>
      <c r="K593" s="5">
        <v>41474</v>
      </c>
      <c r="L593" s="5">
        <v>10192182</v>
      </c>
      <c r="M593" s="5">
        <v>48142</v>
      </c>
      <c r="N593" s="7" t="s">
        <v>488</v>
      </c>
      <c r="O593" s="7" t="s">
        <v>1010</v>
      </c>
      <c r="P593" s="11">
        <v>45481</v>
      </c>
    </row>
    <row r="594" spans="1:16" ht="16.5" x14ac:dyDescent="0.4">
      <c r="A594" s="4" t="s">
        <v>93</v>
      </c>
      <c r="B594" s="70" t="s">
        <v>105</v>
      </c>
      <c r="C594" s="4" t="s">
        <v>133</v>
      </c>
      <c r="D594" s="4">
        <v>171</v>
      </c>
      <c r="E594" s="4">
        <v>109</v>
      </c>
      <c r="F594" s="5">
        <v>29354</v>
      </c>
      <c r="G594" s="5">
        <v>93717</v>
      </c>
      <c r="H594" s="6">
        <v>-64363</v>
      </c>
      <c r="I594" s="4" t="s">
        <v>101</v>
      </c>
      <c r="J594" s="5">
        <v>3747254</v>
      </c>
      <c r="K594" s="5">
        <v>29354</v>
      </c>
      <c r="L594" s="5">
        <v>7695312</v>
      </c>
      <c r="M594" s="5">
        <v>33536</v>
      </c>
      <c r="N594" s="7" t="s">
        <v>410</v>
      </c>
      <c r="O594" s="7" t="s">
        <v>1011</v>
      </c>
      <c r="P594" s="11">
        <v>45481</v>
      </c>
    </row>
    <row r="595" spans="1:16" ht="16.5" x14ac:dyDescent="0.4">
      <c r="A595" s="4" t="s">
        <v>92</v>
      </c>
      <c r="B595" s="70" t="s">
        <v>178</v>
      </c>
      <c r="C595" s="4" t="s">
        <v>122</v>
      </c>
      <c r="D595" s="4">
        <v>221</v>
      </c>
      <c r="E595" s="4">
        <v>102</v>
      </c>
      <c r="F595" s="5">
        <v>48453</v>
      </c>
      <c r="G595" s="5">
        <v>209686</v>
      </c>
      <c r="H595" s="6">
        <v>-161233</v>
      </c>
      <c r="I595" s="4" t="s">
        <v>101</v>
      </c>
      <c r="J595" s="5">
        <v>6103644</v>
      </c>
      <c r="K595" s="5">
        <v>48453</v>
      </c>
      <c r="L595" s="5">
        <v>10460105</v>
      </c>
      <c r="M595" s="5">
        <v>55919</v>
      </c>
      <c r="N595" s="7" t="s">
        <v>317</v>
      </c>
      <c r="O595" s="7" t="s">
        <v>1012</v>
      </c>
      <c r="P595" s="11">
        <v>45481</v>
      </c>
    </row>
    <row r="596" spans="1:16" ht="16.5" x14ac:dyDescent="0.4">
      <c r="A596" s="4" t="s">
        <v>93</v>
      </c>
      <c r="B596" s="70" t="s">
        <v>104</v>
      </c>
      <c r="C596" s="4" t="s">
        <v>133</v>
      </c>
      <c r="D596" s="4">
        <v>193</v>
      </c>
      <c r="E596" s="4">
        <v>135</v>
      </c>
      <c r="F596" s="5">
        <v>37191</v>
      </c>
      <c r="G596" s="5">
        <v>115970</v>
      </c>
      <c r="H596" s="6">
        <v>-78779</v>
      </c>
      <c r="I596" s="4" t="s">
        <v>101</v>
      </c>
      <c r="J596" s="5">
        <v>3955175</v>
      </c>
      <c r="K596" s="5">
        <v>37191</v>
      </c>
      <c r="L596" s="5">
        <v>10287899</v>
      </c>
      <c r="M596" s="5">
        <v>45096</v>
      </c>
      <c r="N596" s="7" t="s">
        <v>118</v>
      </c>
      <c r="O596" s="7" t="s">
        <v>1013</v>
      </c>
      <c r="P596" s="11">
        <v>45482</v>
      </c>
    </row>
    <row r="597" spans="1:16" ht="16.5" x14ac:dyDescent="0.4">
      <c r="A597" s="4" t="s">
        <v>93</v>
      </c>
      <c r="B597" s="70" t="s">
        <v>105</v>
      </c>
      <c r="C597" s="4" t="s">
        <v>110</v>
      </c>
      <c r="D597" s="4">
        <v>225</v>
      </c>
      <c r="E597" s="4">
        <v>138</v>
      </c>
      <c r="F597" s="5">
        <v>28781</v>
      </c>
      <c r="G597" s="5">
        <v>93717</v>
      </c>
      <c r="H597" s="6">
        <v>-64936</v>
      </c>
      <c r="I597" s="4" t="s">
        <v>101</v>
      </c>
      <c r="J597" s="5">
        <v>3296607</v>
      </c>
      <c r="K597" s="5">
        <v>28781</v>
      </c>
      <c r="L597" s="5">
        <v>7591514</v>
      </c>
      <c r="M597" s="5">
        <v>33513</v>
      </c>
      <c r="N597" s="7" t="s">
        <v>124</v>
      </c>
      <c r="O597" s="7" t="s">
        <v>1014</v>
      </c>
      <c r="P597" s="11">
        <v>45482</v>
      </c>
    </row>
    <row r="598" spans="1:16" ht="16.5" x14ac:dyDescent="0.4">
      <c r="A598" s="4" t="s">
        <v>92</v>
      </c>
      <c r="B598" s="70" t="s">
        <v>178</v>
      </c>
      <c r="C598" s="4" t="s">
        <v>122</v>
      </c>
      <c r="D598" s="4">
        <v>209</v>
      </c>
      <c r="E598" s="4">
        <v>116</v>
      </c>
      <c r="F598" s="5">
        <v>40886</v>
      </c>
      <c r="G598" s="5">
        <v>209686</v>
      </c>
      <c r="H598" s="6">
        <v>-168800</v>
      </c>
      <c r="I598" s="4" t="s">
        <v>101</v>
      </c>
      <c r="J598" s="5">
        <v>6388297</v>
      </c>
      <c r="K598" s="5">
        <v>40886</v>
      </c>
      <c r="L598" s="5">
        <v>13185767</v>
      </c>
      <c r="M598" s="5">
        <v>47271</v>
      </c>
      <c r="N598" s="7" t="s">
        <v>419</v>
      </c>
      <c r="O598" s="7" t="s">
        <v>1015</v>
      </c>
      <c r="P598" s="11">
        <v>45482</v>
      </c>
    </row>
    <row r="599" spans="1:16" ht="16.5" x14ac:dyDescent="0.4">
      <c r="A599" s="4" t="s">
        <v>93</v>
      </c>
      <c r="B599" s="70" t="s">
        <v>104</v>
      </c>
      <c r="C599" s="4" t="s">
        <v>110</v>
      </c>
      <c r="D599" s="4">
        <v>223</v>
      </c>
      <c r="E599" s="4">
        <v>138</v>
      </c>
      <c r="F599" s="5">
        <v>38037</v>
      </c>
      <c r="G599" s="5">
        <v>115970</v>
      </c>
      <c r="H599" s="6">
        <v>-77933</v>
      </c>
      <c r="I599" s="4" t="s">
        <v>101</v>
      </c>
      <c r="J599" s="5">
        <v>3997570</v>
      </c>
      <c r="K599" s="5">
        <v>38037</v>
      </c>
      <c r="L599" s="5">
        <v>9353366</v>
      </c>
      <c r="M599" s="5">
        <v>44504</v>
      </c>
      <c r="N599" s="7" t="s">
        <v>298</v>
      </c>
      <c r="O599" s="7" t="s">
        <v>1016</v>
      </c>
      <c r="P599" s="11">
        <v>45483</v>
      </c>
    </row>
    <row r="600" spans="1:16" ht="16.5" x14ac:dyDescent="0.4">
      <c r="A600" s="4" t="s">
        <v>93</v>
      </c>
      <c r="B600" s="70" t="s">
        <v>105</v>
      </c>
      <c r="C600" s="4" t="s">
        <v>133</v>
      </c>
      <c r="D600" s="4">
        <v>275</v>
      </c>
      <c r="E600" s="4">
        <v>150</v>
      </c>
      <c r="F600" s="5">
        <v>36323</v>
      </c>
      <c r="G600" s="5">
        <v>93717</v>
      </c>
      <c r="H600" s="6">
        <v>-57394</v>
      </c>
      <c r="I600" s="4" t="s">
        <v>101</v>
      </c>
      <c r="J600" s="5">
        <v>4432588</v>
      </c>
      <c r="K600" s="5">
        <v>36323</v>
      </c>
      <c r="L600" s="5">
        <v>8689403</v>
      </c>
      <c r="M600" s="5">
        <v>41205</v>
      </c>
      <c r="N600" s="7" t="s">
        <v>556</v>
      </c>
      <c r="O600" s="7" t="s">
        <v>1017</v>
      </c>
      <c r="P600" s="11">
        <v>45483</v>
      </c>
    </row>
    <row r="601" spans="1:16" ht="16.5" x14ac:dyDescent="0.4">
      <c r="A601" s="4" t="s">
        <v>92</v>
      </c>
      <c r="B601" s="70" t="s">
        <v>178</v>
      </c>
      <c r="C601" s="4" t="s">
        <v>158</v>
      </c>
      <c r="D601" s="4">
        <v>302</v>
      </c>
      <c r="E601" s="4">
        <v>121</v>
      </c>
      <c r="F601" s="5">
        <v>50063</v>
      </c>
      <c r="G601" s="5">
        <v>209686</v>
      </c>
      <c r="H601" s="6">
        <v>-159623</v>
      </c>
      <c r="I601" s="4" t="s">
        <v>101</v>
      </c>
      <c r="J601" s="5">
        <v>6889215</v>
      </c>
      <c r="K601" s="5">
        <v>50063</v>
      </c>
      <c r="L601" s="5">
        <v>11849275</v>
      </c>
      <c r="M601" s="5">
        <v>57103</v>
      </c>
      <c r="N601" s="7" t="s">
        <v>185</v>
      </c>
      <c r="O601" s="7" t="s">
        <v>1018</v>
      </c>
      <c r="P601" s="11">
        <v>45483</v>
      </c>
    </row>
    <row r="602" spans="1:16" ht="16.5" x14ac:dyDescent="0.4">
      <c r="A602" s="4" t="s">
        <v>93</v>
      </c>
      <c r="B602" s="70" t="s">
        <v>104</v>
      </c>
      <c r="C602" s="4" t="s">
        <v>133</v>
      </c>
      <c r="D602" s="4">
        <v>211</v>
      </c>
      <c r="E602" s="4">
        <v>130</v>
      </c>
      <c r="F602" s="5">
        <v>31231</v>
      </c>
      <c r="G602" s="5">
        <v>115970</v>
      </c>
      <c r="H602" s="6">
        <v>-84739</v>
      </c>
      <c r="I602" s="4" t="s">
        <v>101</v>
      </c>
      <c r="J602" s="5">
        <v>2389840</v>
      </c>
      <c r="K602" s="5">
        <v>31231</v>
      </c>
      <c r="L602" s="5">
        <v>7090437</v>
      </c>
      <c r="M602" s="5">
        <v>37489</v>
      </c>
      <c r="N602" s="7" t="s">
        <v>130</v>
      </c>
      <c r="O602" s="7" t="s">
        <v>1019</v>
      </c>
      <c r="P602" s="11">
        <v>45484</v>
      </c>
    </row>
    <row r="603" spans="1:16" ht="16.5" x14ac:dyDescent="0.4">
      <c r="A603" s="4" t="s">
        <v>93</v>
      </c>
      <c r="B603" s="70" t="s">
        <v>105</v>
      </c>
      <c r="C603" s="4" t="s">
        <v>111</v>
      </c>
      <c r="D603" s="4">
        <v>176</v>
      </c>
      <c r="E603" s="4">
        <v>98</v>
      </c>
      <c r="F603" s="5">
        <v>21541</v>
      </c>
      <c r="G603" s="5">
        <v>93717</v>
      </c>
      <c r="H603" s="6">
        <v>-72176</v>
      </c>
      <c r="I603" s="4" t="s">
        <v>101</v>
      </c>
      <c r="J603" s="5">
        <v>2947160</v>
      </c>
      <c r="K603" s="5">
        <v>21541</v>
      </c>
      <c r="L603" s="5">
        <v>5791687</v>
      </c>
      <c r="M603" s="5">
        <v>24415</v>
      </c>
      <c r="N603" s="7" t="s">
        <v>185</v>
      </c>
      <c r="O603" s="7" t="s">
        <v>1020</v>
      </c>
      <c r="P603" s="11">
        <v>45484</v>
      </c>
    </row>
    <row r="604" spans="1:16" ht="16.5" x14ac:dyDescent="0.4">
      <c r="A604" s="4" t="s">
        <v>92</v>
      </c>
      <c r="B604" s="70" t="s">
        <v>104</v>
      </c>
      <c r="C604" s="4" t="s">
        <v>158</v>
      </c>
      <c r="D604" s="4">
        <v>227</v>
      </c>
      <c r="E604" s="4">
        <v>106</v>
      </c>
      <c r="F604" s="5">
        <v>39708</v>
      </c>
      <c r="G604" s="5">
        <v>115970</v>
      </c>
      <c r="H604" s="6">
        <v>-76262</v>
      </c>
      <c r="I604" s="4" t="s">
        <v>101</v>
      </c>
      <c r="J604" s="5">
        <v>3706923</v>
      </c>
      <c r="K604" s="5">
        <v>39708</v>
      </c>
      <c r="L604" s="5">
        <v>7803506</v>
      </c>
      <c r="M604" s="5">
        <v>47426</v>
      </c>
      <c r="N604" s="7" t="s">
        <v>276</v>
      </c>
      <c r="O604" s="7" t="s">
        <v>1021</v>
      </c>
      <c r="P604" s="11">
        <v>45484</v>
      </c>
    </row>
    <row r="605" spans="1:16" ht="16.5" x14ac:dyDescent="0.4">
      <c r="A605" s="4" t="s">
        <v>92</v>
      </c>
      <c r="B605" s="70" t="s">
        <v>105</v>
      </c>
      <c r="C605" s="4" t="s">
        <v>122</v>
      </c>
      <c r="D605" s="4">
        <v>174</v>
      </c>
      <c r="E605" s="4">
        <v>103</v>
      </c>
      <c r="F605" s="5">
        <v>30614</v>
      </c>
      <c r="G605" s="5">
        <v>93717</v>
      </c>
      <c r="H605" s="6">
        <v>-63103</v>
      </c>
      <c r="I605" s="4" t="s">
        <v>101</v>
      </c>
      <c r="J605" s="5">
        <v>4786164</v>
      </c>
      <c r="K605" s="5">
        <v>30614</v>
      </c>
      <c r="L605" s="5">
        <v>9078580</v>
      </c>
      <c r="M605" s="5">
        <v>34572</v>
      </c>
      <c r="N605" s="7" t="s">
        <v>419</v>
      </c>
      <c r="O605" s="7" t="s">
        <v>1022</v>
      </c>
      <c r="P605" s="11">
        <v>45484</v>
      </c>
    </row>
    <row r="606" spans="1:16" ht="16.5" x14ac:dyDescent="0.4">
      <c r="A606" s="4" t="s">
        <v>93</v>
      </c>
      <c r="B606" s="70" t="s">
        <v>104</v>
      </c>
      <c r="C606" s="4" t="s">
        <v>111</v>
      </c>
      <c r="D606" s="4">
        <v>194</v>
      </c>
      <c r="E606" s="4">
        <v>102</v>
      </c>
      <c r="F606" s="5">
        <v>30253</v>
      </c>
      <c r="G606" s="5">
        <v>115970</v>
      </c>
      <c r="H606" s="6">
        <v>-85717</v>
      </c>
      <c r="I606" s="4" t="s">
        <v>101</v>
      </c>
      <c r="J606" s="5">
        <v>2544854</v>
      </c>
      <c r="K606" s="5">
        <v>30253</v>
      </c>
      <c r="L606" s="5">
        <v>6588949</v>
      </c>
      <c r="M606" s="5">
        <v>34353</v>
      </c>
      <c r="N606" s="7" t="s">
        <v>473</v>
      </c>
      <c r="O606" s="7" t="s">
        <v>1023</v>
      </c>
      <c r="P606" s="11">
        <v>45485</v>
      </c>
    </row>
    <row r="607" spans="1:16" ht="16.5" x14ac:dyDescent="0.4">
      <c r="A607" s="4" t="s">
        <v>93</v>
      </c>
      <c r="B607" s="70" t="s">
        <v>105</v>
      </c>
      <c r="C607" s="4" t="s">
        <v>133</v>
      </c>
      <c r="D607" s="4">
        <v>243</v>
      </c>
      <c r="E607" s="4">
        <v>133</v>
      </c>
      <c r="F607" s="5">
        <v>26465</v>
      </c>
      <c r="G607" s="5">
        <v>93717</v>
      </c>
      <c r="H607" s="6">
        <v>-67252</v>
      </c>
      <c r="I607" s="4" t="s">
        <v>101</v>
      </c>
      <c r="J607" s="5">
        <v>3193823</v>
      </c>
      <c r="K607" s="5">
        <v>26465</v>
      </c>
      <c r="L607" s="5">
        <v>6730853</v>
      </c>
      <c r="M607" s="5">
        <v>30620</v>
      </c>
      <c r="N607" s="7" t="s">
        <v>166</v>
      </c>
      <c r="O607" s="7" t="s">
        <v>1024</v>
      </c>
      <c r="P607" s="11">
        <v>45485</v>
      </c>
    </row>
    <row r="608" spans="1:16" ht="16.5" x14ac:dyDescent="0.4">
      <c r="A608" s="4" t="s">
        <v>92</v>
      </c>
      <c r="B608" s="70" t="s">
        <v>104</v>
      </c>
      <c r="C608" s="4" t="s">
        <v>158</v>
      </c>
      <c r="D608" s="4">
        <v>209</v>
      </c>
      <c r="E608" s="4">
        <v>105</v>
      </c>
      <c r="F608" s="5">
        <v>35648</v>
      </c>
      <c r="G608" s="5">
        <v>115970</v>
      </c>
      <c r="H608" s="6">
        <v>-80322</v>
      </c>
      <c r="I608" s="4" t="s">
        <v>101</v>
      </c>
      <c r="J608" s="5">
        <v>3774140</v>
      </c>
      <c r="K608" s="5">
        <v>35648</v>
      </c>
      <c r="L608" s="5">
        <v>8459311</v>
      </c>
      <c r="M608" s="5">
        <v>41792</v>
      </c>
      <c r="N608" s="7" t="s">
        <v>118</v>
      </c>
      <c r="O608" s="7" t="s">
        <v>1025</v>
      </c>
      <c r="P608" s="11">
        <v>45485</v>
      </c>
    </row>
    <row r="609" spans="1:16" ht="16.5" x14ac:dyDescent="0.4">
      <c r="A609" s="4" t="s">
        <v>92</v>
      </c>
      <c r="B609" s="70" t="s">
        <v>105</v>
      </c>
      <c r="C609" s="4" t="s">
        <v>122</v>
      </c>
      <c r="D609" s="4">
        <v>189</v>
      </c>
      <c r="E609" s="4">
        <v>102</v>
      </c>
      <c r="F609" s="5">
        <v>35750</v>
      </c>
      <c r="G609" s="5">
        <v>93717</v>
      </c>
      <c r="H609" s="6">
        <v>-57967</v>
      </c>
      <c r="I609" s="4" t="s">
        <v>101</v>
      </c>
      <c r="J609" s="5">
        <v>5466464</v>
      </c>
      <c r="K609" s="5">
        <v>35750</v>
      </c>
      <c r="L609" s="5">
        <v>9925908</v>
      </c>
      <c r="M609" s="5">
        <v>40228</v>
      </c>
      <c r="N609" s="7" t="s">
        <v>699</v>
      </c>
      <c r="O609" s="7" t="s">
        <v>1026</v>
      </c>
      <c r="P609" s="11">
        <v>45485</v>
      </c>
    </row>
    <row r="610" spans="1:16" ht="16.5" x14ac:dyDescent="0.4">
      <c r="A610" s="4" t="s">
        <v>93</v>
      </c>
      <c r="B610" s="70" t="s">
        <v>178</v>
      </c>
      <c r="C610" s="4" t="s">
        <v>133</v>
      </c>
      <c r="D610" s="4">
        <v>316</v>
      </c>
      <c r="E610" s="4">
        <v>180</v>
      </c>
      <c r="F610" s="5">
        <v>45831</v>
      </c>
      <c r="G610" s="5">
        <v>209686</v>
      </c>
      <c r="H610" s="6">
        <v>-163855</v>
      </c>
      <c r="I610" s="4" t="s">
        <v>101</v>
      </c>
      <c r="J610" s="5">
        <v>4508393</v>
      </c>
      <c r="K610" s="5">
        <v>45831</v>
      </c>
      <c r="L610" s="5">
        <v>11395110</v>
      </c>
      <c r="M610" s="5">
        <v>52702</v>
      </c>
      <c r="N610" s="7" t="s">
        <v>113</v>
      </c>
      <c r="O610" s="7" t="s">
        <v>1029</v>
      </c>
      <c r="P610" s="11">
        <v>45486</v>
      </c>
    </row>
    <row r="611" spans="1:16" ht="16.5" x14ac:dyDescent="0.4">
      <c r="A611" s="4" t="s">
        <v>92</v>
      </c>
      <c r="B611" s="70" t="s">
        <v>104</v>
      </c>
      <c r="C611" s="4" t="s">
        <v>111</v>
      </c>
      <c r="D611" s="4">
        <v>169</v>
      </c>
      <c r="E611" s="4">
        <v>109</v>
      </c>
      <c r="F611" s="5">
        <v>40955</v>
      </c>
      <c r="G611" s="5">
        <v>115970</v>
      </c>
      <c r="H611" s="6">
        <v>-75015</v>
      </c>
      <c r="I611" s="4" t="s">
        <v>101</v>
      </c>
      <c r="J611" s="5">
        <v>5207405</v>
      </c>
      <c r="K611" s="5">
        <v>40955</v>
      </c>
      <c r="L611" s="5">
        <v>11272084</v>
      </c>
      <c r="M611" s="5">
        <v>48147</v>
      </c>
      <c r="N611" s="7" t="s">
        <v>317</v>
      </c>
      <c r="O611" s="7" t="s">
        <v>1030</v>
      </c>
      <c r="P611" s="11">
        <v>45486</v>
      </c>
    </row>
    <row r="612" spans="1:16" ht="16.5" x14ac:dyDescent="0.4">
      <c r="A612" s="4" t="s">
        <v>92</v>
      </c>
      <c r="B612" s="70" t="s">
        <v>105</v>
      </c>
      <c r="C612" s="4" t="s">
        <v>158</v>
      </c>
      <c r="D612" s="4">
        <v>249</v>
      </c>
      <c r="E612" s="4">
        <v>108</v>
      </c>
      <c r="F612" s="5">
        <v>30157</v>
      </c>
      <c r="G612" s="5">
        <v>93717</v>
      </c>
      <c r="H612" s="6">
        <v>-63560</v>
      </c>
      <c r="I612" s="4" t="s">
        <v>101</v>
      </c>
      <c r="J612" s="5">
        <v>3654418</v>
      </c>
      <c r="K612" s="5">
        <v>30157</v>
      </c>
      <c r="L612" s="5">
        <v>7024791</v>
      </c>
      <c r="M612" s="5">
        <v>34414</v>
      </c>
      <c r="N612" s="7" t="s">
        <v>166</v>
      </c>
      <c r="O612" s="7" t="s">
        <v>1031</v>
      </c>
      <c r="P612" s="11">
        <v>45486</v>
      </c>
    </row>
    <row r="613" spans="1:16" ht="16.5" x14ac:dyDescent="0.4">
      <c r="A613" s="4" t="s">
        <v>93</v>
      </c>
      <c r="B613" s="70" t="s">
        <v>178</v>
      </c>
      <c r="C613" s="4" t="s">
        <v>122</v>
      </c>
      <c r="D613" s="4">
        <v>166</v>
      </c>
      <c r="E613" s="4">
        <v>108</v>
      </c>
      <c r="F613" s="5">
        <v>22995</v>
      </c>
      <c r="G613" s="5">
        <v>209686</v>
      </c>
      <c r="H613" s="6">
        <v>-186691</v>
      </c>
      <c r="I613" s="4" t="s">
        <v>101</v>
      </c>
      <c r="J613" s="5">
        <v>3009498</v>
      </c>
      <c r="K613" s="5">
        <v>22995</v>
      </c>
      <c r="L613" s="5">
        <v>6392289</v>
      </c>
      <c r="M613" s="5">
        <v>25428</v>
      </c>
      <c r="N613" s="7" t="s">
        <v>578</v>
      </c>
      <c r="O613" s="7" t="s">
        <v>1034</v>
      </c>
      <c r="P613" s="11">
        <v>45487</v>
      </c>
    </row>
    <row r="614" spans="1:16" ht="16.5" x14ac:dyDescent="0.4">
      <c r="A614" s="4" t="s">
        <v>92</v>
      </c>
      <c r="B614" s="70" t="s">
        <v>104</v>
      </c>
      <c r="C614" s="4" t="s">
        <v>158</v>
      </c>
      <c r="D614" s="4">
        <v>201</v>
      </c>
      <c r="E614" s="4">
        <v>106</v>
      </c>
      <c r="F614" s="5">
        <v>34598</v>
      </c>
      <c r="G614" s="5">
        <v>115970</v>
      </c>
      <c r="H614" s="6">
        <v>-81372</v>
      </c>
      <c r="I614" s="4" t="s">
        <v>101</v>
      </c>
      <c r="J614" s="5">
        <v>2390146</v>
      </c>
      <c r="K614" s="5">
        <v>34598</v>
      </c>
      <c r="L614" s="5">
        <v>5579091</v>
      </c>
      <c r="M614" s="5">
        <v>41072</v>
      </c>
      <c r="N614" s="7" t="s">
        <v>399</v>
      </c>
      <c r="O614" s="7" t="s">
        <v>1035</v>
      </c>
      <c r="P614" s="11">
        <v>45487</v>
      </c>
    </row>
    <row r="615" spans="1:16" ht="16.5" x14ac:dyDescent="0.4">
      <c r="A615" s="4" t="s">
        <v>92</v>
      </c>
      <c r="B615" s="70" t="s">
        <v>105</v>
      </c>
      <c r="C615" s="4" t="s">
        <v>111</v>
      </c>
      <c r="D615" s="4">
        <v>170</v>
      </c>
      <c r="E615" s="4">
        <v>108</v>
      </c>
      <c r="F615" s="5">
        <v>34182</v>
      </c>
      <c r="G615" s="5">
        <v>93717</v>
      </c>
      <c r="H615" s="6">
        <v>-59535</v>
      </c>
      <c r="I615" s="4" t="s">
        <v>101</v>
      </c>
      <c r="J615" s="5">
        <v>3630029</v>
      </c>
      <c r="K615" s="5">
        <v>34182</v>
      </c>
      <c r="L615" s="5">
        <v>7743694</v>
      </c>
      <c r="M615" s="5">
        <v>38220</v>
      </c>
      <c r="N615" s="7" t="s">
        <v>118</v>
      </c>
      <c r="O615" s="7" t="s">
        <v>1036</v>
      </c>
      <c r="P615" s="11">
        <v>45487</v>
      </c>
    </row>
    <row r="616" spans="1:16" ht="16.5" x14ac:dyDescent="0.4">
      <c r="A616" s="4" t="s">
        <v>93</v>
      </c>
      <c r="B616" s="70" t="s">
        <v>104</v>
      </c>
      <c r="C616" s="4" t="s">
        <v>110</v>
      </c>
      <c r="D616" s="4">
        <v>217</v>
      </c>
      <c r="E616" s="4">
        <v>104</v>
      </c>
      <c r="F616" s="5">
        <v>28252</v>
      </c>
      <c r="G616" s="5">
        <v>115970</v>
      </c>
      <c r="H616" s="6">
        <v>-87718</v>
      </c>
      <c r="I616" s="4" t="s">
        <v>101</v>
      </c>
      <c r="J616" s="5">
        <v>2230857</v>
      </c>
      <c r="K616" s="5">
        <v>28252</v>
      </c>
      <c r="L616" s="5">
        <v>6519376</v>
      </c>
      <c r="M616" s="5">
        <v>32934</v>
      </c>
      <c r="N616" s="7" t="s">
        <v>131</v>
      </c>
      <c r="O616" s="7" t="s">
        <v>1038</v>
      </c>
      <c r="P616" s="11">
        <v>45488</v>
      </c>
    </row>
    <row r="617" spans="1:16" ht="16.5" x14ac:dyDescent="0.4">
      <c r="A617" s="4" t="s">
        <v>93</v>
      </c>
      <c r="B617" s="70" t="s">
        <v>105</v>
      </c>
      <c r="C617" s="4" t="s">
        <v>122</v>
      </c>
      <c r="D617" s="4">
        <v>185</v>
      </c>
      <c r="E617" s="4">
        <v>102</v>
      </c>
      <c r="F617" s="5">
        <v>12713</v>
      </c>
      <c r="G617" s="5">
        <v>93717</v>
      </c>
      <c r="H617" s="6">
        <v>-81004</v>
      </c>
      <c r="I617" s="4" t="s">
        <v>101</v>
      </c>
      <c r="J617" s="5">
        <v>1403843</v>
      </c>
      <c r="K617" s="5">
        <v>12713</v>
      </c>
      <c r="L617" s="5">
        <v>4287114</v>
      </c>
      <c r="M617" s="5">
        <v>14615</v>
      </c>
      <c r="N617" s="7" t="s">
        <v>163</v>
      </c>
      <c r="O617" s="7" t="s">
        <v>1039</v>
      </c>
      <c r="P617" s="11">
        <v>45488</v>
      </c>
    </row>
    <row r="618" spans="1:16" ht="16.5" x14ac:dyDescent="0.4">
      <c r="A618" s="4" t="s">
        <v>92</v>
      </c>
      <c r="B618" s="70" t="s">
        <v>178</v>
      </c>
      <c r="C618" s="4" t="s">
        <v>111</v>
      </c>
      <c r="D618" s="4">
        <v>200</v>
      </c>
      <c r="E618" s="4">
        <v>121</v>
      </c>
      <c r="F618" s="5">
        <v>41955</v>
      </c>
      <c r="G618" s="5">
        <v>209686</v>
      </c>
      <c r="H618" s="6">
        <v>-167731</v>
      </c>
      <c r="I618" s="4" t="s">
        <v>101</v>
      </c>
      <c r="J618" s="5">
        <v>4201115</v>
      </c>
      <c r="K618" s="5">
        <v>41955</v>
      </c>
      <c r="L618" s="5">
        <v>8854545</v>
      </c>
      <c r="M618" s="5">
        <v>46381</v>
      </c>
      <c r="N618" s="7" t="s">
        <v>123</v>
      </c>
      <c r="O618" s="7" t="s">
        <v>1040</v>
      </c>
      <c r="P618" s="11">
        <v>45488</v>
      </c>
    </row>
    <row r="619" spans="1:16" ht="16.5" x14ac:dyDescent="0.4">
      <c r="A619" s="4" t="s">
        <v>93</v>
      </c>
      <c r="B619" s="70" t="s">
        <v>104</v>
      </c>
      <c r="C619" s="4" t="s">
        <v>110</v>
      </c>
      <c r="D619" s="4">
        <v>232</v>
      </c>
      <c r="E619" s="4">
        <v>127</v>
      </c>
      <c r="F619" s="5">
        <v>31963</v>
      </c>
      <c r="G619" s="5">
        <v>115970</v>
      </c>
      <c r="H619" s="6">
        <v>-84007</v>
      </c>
      <c r="I619" s="4" t="s">
        <v>101</v>
      </c>
      <c r="J619" s="5">
        <v>2318025</v>
      </c>
      <c r="K619" s="5">
        <v>31963</v>
      </c>
      <c r="L619" s="5">
        <v>6817755</v>
      </c>
      <c r="M619" s="5">
        <v>36862</v>
      </c>
      <c r="N619" s="7" t="s">
        <v>676</v>
      </c>
      <c r="O619" s="7" t="s">
        <v>1098</v>
      </c>
      <c r="P619" s="11">
        <v>45489</v>
      </c>
    </row>
    <row r="620" spans="1:16" ht="16.5" x14ac:dyDescent="0.4">
      <c r="A620" s="4" t="s">
        <v>93</v>
      </c>
      <c r="B620" s="70" t="s">
        <v>105</v>
      </c>
      <c r="C620" s="4" t="s">
        <v>122</v>
      </c>
      <c r="D620" s="4">
        <v>224</v>
      </c>
      <c r="E620" s="4">
        <v>100</v>
      </c>
      <c r="F620" s="5">
        <v>20342</v>
      </c>
      <c r="G620" s="5">
        <v>93717</v>
      </c>
      <c r="H620" s="6">
        <v>-73375</v>
      </c>
      <c r="I620" s="4" t="s">
        <v>101</v>
      </c>
      <c r="J620" s="5">
        <v>3078861</v>
      </c>
      <c r="K620" s="5">
        <v>20342</v>
      </c>
      <c r="L620" s="5">
        <v>6562368</v>
      </c>
      <c r="M620" s="5">
        <v>22731</v>
      </c>
      <c r="N620" s="7" t="s">
        <v>289</v>
      </c>
      <c r="O620" s="7" t="s">
        <v>1099</v>
      </c>
      <c r="P620" s="11">
        <v>45489</v>
      </c>
    </row>
    <row r="621" spans="1:16" ht="16.5" x14ac:dyDescent="0.4">
      <c r="A621" s="4" t="s">
        <v>92</v>
      </c>
      <c r="B621" s="70" t="s">
        <v>178</v>
      </c>
      <c r="C621" s="4" t="s">
        <v>133</v>
      </c>
      <c r="D621" s="4">
        <v>348</v>
      </c>
      <c r="E621" s="4">
        <v>182</v>
      </c>
      <c r="F621" s="5">
        <v>51527</v>
      </c>
      <c r="G621" s="5">
        <v>209686</v>
      </c>
      <c r="H621" s="6">
        <v>-158159</v>
      </c>
      <c r="I621" s="4" t="s">
        <v>101</v>
      </c>
      <c r="J621" s="5">
        <v>4268202</v>
      </c>
      <c r="K621" s="5">
        <v>51527</v>
      </c>
      <c r="L621" s="5">
        <v>10790297</v>
      </c>
      <c r="M621" s="5">
        <v>63805</v>
      </c>
      <c r="N621" s="7" t="s">
        <v>409</v>
      </c>
      <c r="O621" s="7" t="s">
        <v>1100</v>
      </c>
      <c r="P621" s="11">
        <v>45489</v>
      </c>
    </row>
  </sheetData>
  <phoneticPr fontId="9" type="noConversion"/>
  <pageMargins left="0.7" right="0.7" top="0.75" bottom="0.75" header="0.3" footer="0.3"/>
  <pageSetup paperSize="9" orientation="portrait" horizontalDpi="4294967294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5"/>
  <sheetViews>
    <sheetView zoomScale="70" zoomScaleNormal="70" workbookViewId="0">
      <pane xSplit="1" ySplit="2" topLeftCell="C3" activePane="bottomRight" state="frozen"/>
      <selection activeCell="I35" sqref="I35"/>
      <selection pane="topRight" activeCell="I35" sqref="I35"/>
      <selection pane="bottomLeft" activeCell="I35" sqref="I35"/>
      <selection pane="bottomRight" activeCell="AQ32" sqref="AQ32"/>
    </sheetView>
  </sheetViews>
  <sheetFormatPr defaultColWidth="9" defaultRowHeight="14.5" x14ac:dyDescent="0.4"/>
  <cols>
    <col min="1" max="1" width="11.08203125" style="66" bestFit="1" customWidth="1"/>
    <col min="2" max="7" width="9" style="66"/>
    <col min="8" max="8" width="9" style="66" customWidth="1"/>
    <col min="9" max="15" width="9" style="66"/>
    <col min="16" max="16" width="9.5" style="66" customWidth="1"/>
    <col min="17" max="16384" width="9" style="66"/>
  </cols>
  <sheetData>
    <row r="1" spans="1:13" ht="17.25" customHeight="1" x14ac:dyDescent="0.4">
      <c r="A1" s="103" t="s">
        <v>176</v>
      </c>
      <c r="B1" s="105" t="s">
        <v>179</v>
      </c>
      <c r="C1" s="106"/>
      <c r="D1" s="105" t="s">
        <v>177</v>
      </c>
      <c r="E1" s="106"/>
      <c r="F1" s="105" t="s">
        <v>180</v>
      </c>
      <c r="G1" s="106"/>
      <c r="H1" s="101" t="s">
        <v>181</v>
      </c>
      <c r="I1" s="102"/>
      <c r="J1" s="101" t="s">
        <v>106</v>
      </c>
      <c r="K1" s="102"/>
      <c r="L1" s="101" t="s">
        <v>182</v>
      </c>
      <c r="M1" s="102"/>
    </row>
    <row r="2" spans="1:13" s="76" customFormat="1" x14ac:dyDescent="0.4">
      <c r="A2" s="104"/>
      <c r="B2" s="69" t="s">
        <v>183</v>
      </c>
      <c r="C2" s="69" t="s">
        <v>108</v>
      </c>
      <c r="D2" s="69" t="s">
        <v>107</v>
      </c>
      <c r="E2" s="69" t="s">
        <v>184</v>
      </c>
      <c r="F2" s="69" t="s">
        <v>107</v>
      </c>
      <c r="G2" s="69" t="s">
        <v>184</v>
      </c>
      <c r="H2" s="75" t="s">
        <v>183</v>
      </c>
      <c r="I2" s="75" t="s">
        <v>184</v>
      </c>
      <c r="J2" s="75" t="s">
        <v>183</v>
      </c>
      <c r="K2" s="75" t="s">
        <v>184</v>
      </c>
      <c r="L2" s="75" t="s">
        <v>107</v>
      </c>
      <c r="M2" s="75" t="s">
        <v>108</v>
      </c>
    </row>
    <row r="3" spans="1:13" s="76" customFormat="1" x14ac:dyDescent="0.4">
      <c r="A3" s="8">
        <f t="shared" ref="A3:A19" ca="1" si="0">A4-1</f>
        <v>45471</v>
      </c>
      <c r="B3" s="9">
        <f ca="1">IFERROR(VLOOKUP($A3&amp;B$1,#REF!,2,0),0)*1</f>
        <v>0</v>
      </c>
      <c r="C3" s="9" t="str">
        <f ca="1">IFERROR(VLOOKUP($A3&amp;B$1,#REF!,3,0)," ")</f>
        <v xml:space="preserve"> </v>
      </c>
      <c r="D3" s="9">
        <f ca="1">IFERROR(VLOOKUP($A3&amp;D$1,#REF!,2,0),0)*1</f>
        <v>0</v>
      </c>
      <c r="E3" s="9" t="str">
        <f ca="1">IFERROR(VLOOKUP($A3&amp;D$1,#REF!,3,0)," ")</f>
        <v xml:space="preserve"> </v>
      </c>
      <c r="F3" s="9">
        <f ca="1">IFERROR(VLOOKUP($A3&amp;F$1,#REF!,2,0),0)*1</f>
        <v>0</v>
      </c>
      <c r="G3" s="9" t="str">
        <f ca="1">IFERROR(VLOOKUP($A3&amp;F$1,#REF!,3,0)," ")</f>
        <v xml:space="preserve"> </v>
      </c>
      <c r="H3" s="9">
        <f ca="1">IFERROR(VLOOKUP($A3&amp;H$1,#REF!,2,0),0)*1</f>
        <v>0</v>
      </c>
      <c r="I3" s="9" t="str">
        <f ca="1">IFERROR(VLOOKUP($A3&amp;H$1,#REF!,3,0)," ")</f>
        <v xml:space="preserve"> </v>
      </c>
      <c r="J3" s="9">
        <f ca="1">IFERROR(VLOOKUP($A3&amp;J$1,#REF!,2,0),0)*1</f>
        <v>0</v>
      </c>
      <c r="K3" s="9" t="str">
        <f ca="1">IFERROR(VLOOKUP($A3&amp;J$1,#REF!,3,0)," ")</f>
        <v xml:space="preserve"> </v>
      </c>
      <c r="L3" s="9">
        <f ca="1">IFERROR(VLOOKUP($A3&amp;L$1,#REF!,2,0),0)*1</f>
        <v>0</v>
      </c>
      <c r="M3" s="9" t="str">
        <f ca="1">IFERROR(VLOOKUP($A3&amp;L$1,#REF!,3,0),"")</f>
        <v/>
      </c>
    </row>
    <row r="4" spans="1:13" s="76" customFormat="1" x14ac:dyDescent="0.4">
      <c r="A4" s="8">
        <f t="shared" ca="1" si="0"/>
        <v>45472</v>
      </c>
      <c r="B4" s="9">
        <f ca="1">IFERROR(VLOOKUP($A4&amp;B$1,#REF!,2,0),0)*1</f>
        <v>0</v>
      </c>
      <c r="C4" s="9" t="str">
        <f ca="1">IFERROR(VLOOKUP($A4&amp;B$1,#REF!,3,0)," ")</f>
        <v xml:space="preserve"> </v>
      </c>
      <c r="D4" s="9">
        <f ca="1">IFERROR(VLOOKUP($A4&amp;D$1,#REF!,2,0),0)*1</f>
        <v>0</v>
      </c>
      <c r="E4" s="9" t="str">
        <f ca="1">IFERROR(VLOOKUP($A4&amp;D$1,#REF!,3,0)," ")</f>
        <v xml:space="preserve"> </v>
      </c>
      <c r="F4" s="9">
        <f ca="1">IFERROR(VLOOKUP($A4&amp;F$1,#REF!,2,0),0)*1</f>
        <v>0</v>
      </c>
      <c r="G4" s="9" t="str">
        <f ca="1">IFERROR(VLOOKUP($A4&amp;F$1,#REF!,3,0)," ")</f>
        <v xml:space="preserve"> </v>
      </c>
      <c r="H4" s="9">
        <f ca="1">IFERROR(VLOOKUP($A4&amp;H$1,#REF!,2,0),0)*1</f>
        <v>0</v>
      </c>
      <c r="I4" s="9" t="str">
        <f ca="1">IFERROR(VLOOKUP($A4&amp;H$1,#REF!,3,0)," ")</f>
        <v xml:space="preserve"> </v>
      </c>
      <c r="J4" s="9">
        <f ca="1">IFERROR(VLOOKUP($A4&amp;J$1,#REF!,2,0),0)*1</f>
        <v>0</v>
      </c>
      <c r="K4" s="9" t="str">
        <f ca="1">IFERROR(VLOOKUP($A4&amp;J$1,#REF!,3,0)," ")</f>
        <v xml:space="preserve"> </v>
      </c>
      <c r="L4" s="9">
        <f ca="1">IFERROR(VLOOKUP($A4&amp;L$1,#REF!,2,0),0)*1</f>
        <v>0</v>
      </c>
      <c r="M4" s="9" t="str">
        <f ca="1">IFERROR(VLOOKUP($A4&amp;L$1,#REF!,3,0),"")</f>
        <v/>
      </c>
    </row>
    <row r="5" spans="1:13" x14ac:dyDescent="0.4">
      <c r="A5" s="8">
        <f t="shared" ca="1" si="0"/>
        <v>45473</v>
      </c>
      <c r="B5" s="9">
        <f ca="1">IFERROR(VLOOKUP($A5&amp;B$1,#REF!,2,0),0)*1</f>
        <v>0</v>
      </c>
      <c r="C5" s="9" t="str">
        <f ca="1">IFERROR(VLOOKUP($A5&amp;B$1,#REF!,3,0)," ")</f>
        <v xml:space="preserve"> </v>
      </c>
      <c r="D5" s="9">
        <f ca="1">IFERROR(VLOOKUP($A5&amp;D$1,#REF!,2,0),0)*1</f>
        <v>0</v>
      </c>
      <c r="E5" s="9" t="str">
        <f ca="1">IFERROR(VLOOKUP($A5&amp;D$1,#REF!,3,0)," ")</f>
        <v xml:space="preserve"> </v>
      </c>
      <c r="F5" s="9">
        <f ca="1">IFERROR(VLOOKUP($A5&amp;F$1,#REF!,2,0),0)*1</f>
        <v>0</v>
      </c>
      <c r="G5" s="9" t="str">
        <f ca="1">IFERROR(VLOOKUP($A5&amp;F$1,#REF!,3,0)," ")</f>
        <v xml:space="preserve"> </v>
      </c>
      <c r="H5" s="9">
        <f ca="1">IFERROR(VLOOKUP($A5&amp;H$1,#REF!,2,0),0)*1</f>
        <v>0</v>
      </c>
      <c r="I5" s="9" t="str">
        <f ca="1">IFERROR(VLOOKUP($A5&amp;H$1,#REF!,3,0)," ")</f>
        <v xml:space="preserve"> </v>
      </c>
      <c r="J5" s="9">
        <f ca="1">IFERROR(VLOOKUP($A5&amp;J$1,#REF!,2,0),0)*1</f>
        <v>0</v>
      </c>
      <c r="K5" s="9" t="str">
        <f ca="1">IFERROR(VLOOKUP($A5&amp;J$1,#REF!,3,0)," ")</f>
        <v xml:space="preserve"> </v>
      </c>
      <c r="L5" s="9">
        <f ca="1">IFERROR(VLOOKUP($A5&amp;L$1,#REF!,2,0),0)*1</f>
        <v>0</v>
      </c>
      <c r="M5" s="9" t="str">
        <f ca="1">IFERROR(VLOOKUP($A5&amp;L$1,#REF!,3,0),"")</f>
        <v/>
      </c>
    </row>
    <row r="6" spans="1:13" x14ac:dyDescent="0.4">
      <c r="A6" s="8">
        <f t="shared" ca="1" si="0"/>
        <v>45474</v>
      </c>
      <c r="B6" s="9">
        <f ca="1">IFERROR(VLOOKUP($A6&amp;B$1,#REF!,2,0),0)*1</f>
        <v>0</v>
      </c>
      <c r="C6" s="9" t="str">
        <f ca="1">IFERROR(VLOOKUP($A6&amp;B$1,#REF!,3,0)," ")</f>
        <v xml:space="preserve"> </v>
      </c>
      <c r="D6" s="9">
        <f ca="1">IFERROR(VLOOKUP($A6&amp;D$1,#REF!,2,0),0)*1</f>
        <v>0</v>
      </c>
      <c r="E6" s="9" t="str">
        <f ca="1">IFERROR(VLOOKUP($A6&amp;D$1,#REF!,3,0)," ")</f>
        <v xml:space="preserve"> </v>
      </c>
      <c r="F6" s="9">
        <f ca="1">IFERROR(VLOOKUP($A6&amp;F$1,#REF!,2,0),0)*1</f>
        <v>0</v>
      </c>
      <c r="G6" s="9" t="str">
        <f ca="1">IFERROR(VLOOKUP($A6&amp;F$1,#REF!,3,0)," ")</f>
        <v xml:space="preserve"> </v>
      </c>
      <c r="H6" s="9">
        <f ca="1">IFERROR(VLOOKUP($A6&amp;H$1,#REF!,2,0),0)*1</f>
        <v>0</v>
      </c>
      <c r="I6" s="9" t="str">
        <f ca="1">IFERROR(VLOOKUP($A6&amp;H$1,#REF!,3,0)," ")</f>
        <v xml:space="preserve"> </v>
      </c>
      <c r="J6" s="9">
        <f ca="1">IFERROR(VLOOKUP($A6&amp;J$1,#REF!,2,0),0)*1</f>
        <v>0</v>
      </c>
      <c r="K6" s="9" t="str">
        <f ca="1">IFERROR(VLOOKUP($A6&amp;J$1,#REF!,3,0)," ")</f>
        <v xml:space="preserve"> </v>
      </c>
      <c r="L6" s="9">
        <f ca="1">IFERROR(VLOOKUP($A6&amp;L$1,#REF!,2,0),0)*1</f>
        <v>0</v>
      </c>
      <c r="M6" s="9" t="str">
        <f ca="1">IFERROR(VLOOKUP($A6&amp;L$1,#REF!,3,0),"")</f>
        <v/>
      </c>
    </row>
    <row r="7" spans="1:13" x14ac:dyDescent="0.4">
      <c r="A7" s="8">
        <f t="shared" ca="1" si="0"/>
        <v>45475</v>
      </c>
      <c r="B7" s="9">
        <f ca="1">IFERROR(VLOOKUP($A7&amp;B$1,#REF!,2,0),0)*1</f>
        <v>0</v>
      </c>
      <c r="C7" s="9" t="str">
        <f ca="1">IFERROR(VLOOKUP($A7&amp;B$1,#REF!,3,0)," ")</f>
        <v xml:space="preserve"> </v>
      </c>
      <c r="D7" s="9">
        <f ca="1">IFERROR(VLOOKUP($A7&amp;D$1,#REF!,2,0),0)*1</f>
        <v>0</v>
      </c>
      <c r="E7" s="9" t="str">
        <f ca="1">IFERROR(VLOOKUP($A7&amp;D$1,#REF!,3,0)," ")</f>
        <v xml:space="preserve"> </v>
      </c>
      <c r="F7" s="9">
        <f ca="1">IFERROR(VLOOKUP($A7&amp;F$1,#REF!,2,0),0)*1</f>
        <v>0</v>
      </c>
      <c r="G7" s="9" t="str">
        <f ca="1">IFERROR(VLOOKUP($A7&amp;F$1,#REF!,3,0)," ")</f>
        <v xml:space="preserve"> </v>
      </c>
      <c r="H7" s="9">
        <f ca="1">IFERROR(VLOOKUP($A7&amp;H$1,#REF!,2,0),0)*1</f>
        <v>0</v>
      </c>
      <c r="I7" s="9" t="str">
        <f ca="1">IFERROR(VLOOKUP($A7&amp;H$1,#REF!,3,0)," ")</f>
        <v xml:space="preserve"> </v>
      </c>
      <c r="J7" s="9">
        <f ca="1">IFERROR(VLOOKUP($A7&amp;J$1,#REF!,2,0),0)*1</f>
        <v>0</v>
      </c>
      <c r="K7" s="9" t="str">
        <f ca="1">IFERROR(VLOOKUP($A7&amp;J$1,#REF!,3,0)," ")</f>
        <v xml:space="preserve"> </v>
      </c>
      <c r="L7" s="9">
        <f ca="1">IFERROR(VLOOKUP($A7&amp;L$1,#REF!,2,0),0)*1</f>
        <v>0</v>
      </c>
      <c r="M7" s="9" t="str">
        <f ca="1">IFERROR(VLOOKUP($A7&amp;L$1,#REF!,3,0),"")</f>
        <v/>
      </c>
    </row>
    <row r="8" spans="1:13" x14ac:dyDescent="0.4">
      <c r="A8" s="8">
        <f t="shared" ca="1" si="0"/>
        <v>45476</v>
      </c>
      <c r="B8" s="9">
        <f ca="1">IFERROR(VLOOKUP($A8&amp;B$1,#REF!,2,0),0)*1</f>
        <v>0</v>
      </c>
      <c r="C8" s="9" t="str">
        <f ca="1">IFERROR(VLOOKUP($A8&amp;B$1,#REF!,3,0)," ")</f>
        <v xml:space="preserve"> </v>
      </c>
      <c r="D8" s="9">
        <f ca="1">IFERROR(VLOOKUP($A8&amp;D$1,#REF!,2,0),0)*1</f>
        <v>0</v>
      </c>
      <c r="E8" s="9" t="str">
        <f ca="1">IFERROR(VLOOKUP($A8&amp;D$1,#REF!,3,0)," ")</f>
        <v xml:space="preserve"> </v>
      </c>
      <c r="F8" s="9">
        <f ca="1">IFERROR(VLOOKUP($A8&amp;F$1,#REF!,2,0),0)*1</f>
        <v>0</v>
      </c>
      <c r="G8" s="9" t="str">
        <f ca="1">IFERROR(VLOOKUP($A8&amp;F$1,#REF!,3,0)," ")</f>
        <v xml:space="preserve"> </v>
      </c>
      <c r="H8" s="9">
        <f ca="1">IFERROR(VLOOKUP($A8&amp;H$1,#REF!,2,0),0)*1</f>
        <v>0</v>
      </c>
      <c r="I8" s="9" t="str">
        <f ca="1">IFERROR(VLOOKUP($A8&amp;H$1,#REF!,3,0)," ")</f>
        <v xml:space="preserve"> </v>
      </c>
      <c r="J8" s="9">
        <f ca="1">IFERROR(VLOOKUP($A8&amp;J$1,#REF!,2,0),0)*1</f>
        <v>0</v>
      </c>
      <c r="K8" s="9" t="str">
        <f ca="1">IFERROR(VLOOKUP($A8&amp;J$1,#REF!,3,0)," ")</f>
        <v xml:space="preserve"> </v>
      </c>
      <c r="L8" s="9">
        <f ca="1">IFERROR(VLOOKUP($A8&amp;L$1,#REF!,2,0),0)*1</f>
        <v>0</v>
      </c>
      <c r="M8" s="9" t="str">
        <f ca="1">IFERROR(VLOOKUP($A8&amp;L$1,#REF!,3,0),"")</f>
        <v/>
      </c>
    </row>
    <row r="9" spans="1:13" x14ac:dyDescent="0.4">
      <c r="A9" s="8">
        <f t="shared" ca="1" si="0"/>
        <v>45477</v>
      </c>
      <c r="B9" s="9">
        <f ca="1">IFERROR(VLOOKUP($A9&amp;B$1,#REF!,2,0),0)*1</f>
        <v>0</v>
      </c>
      <c r="C9" s="9" t="str">
        <f ca="1">IFERROR(VLOOKUP($A9&amp;B$1,#REF!,3,0)," ")</f>
        <v xml:space="preserve"> </v>
      </c>
      <c r="D9" s="9">
        <f ca="1">IFERROR(VLOOKUP($A9&amp;D$1,#REF!,2,0),0)*1</f>
        <v>0</v>
      </c>
      <c r="E9" s="9" t="str">
        <f ca="1">IFERROR(VLOOKUP($A9&amp;D$1,#REF!,3,0)," ")</f>
        <v xml:space="preserve"> </v>
      </c>
      <c r="F9" s="9">
        <f ca="1">IFERROR(VLOOKUP($A9&amp;F$1,#REF!,2,0),0)*1</f>
        <v>0</v>
      </c>
      <c r="G9" s="9" t="str">
        <f ca="1">IFERROR(VLOOKUP($A9&amp;F$1,#REF!,3,0)," ")</f>
        <v xml:space="preserve"> </v>
      </c>
      <c r="H9" s="9">
        <f ca="1">IFERROR(VLOOKUP($A9&amp;H$1,#REF!,2,0),0)*1</f>
        <v>0</v>
      </c>
      <c r="I9" s="9" t="str">
        <f ca="1">IFERROR(VLOOKUP($A9&amp;H$1,#REF!,3,0)," ")</f>
        <v xml:space="preserve"> </v>
      </c>
      <c r="J9" s="9">
        <f ca="1">IFERROR(VLOOKUP($A9&amp;J$1,#REF!,2,0),0)*1</f>
        <v>0</v>
      </c>
      <c r="K9" s="9" t="str">
        <f ca="1">IFERROR(VLOOKUP($A9&amp;J$1,#REF!,3,0)," ")</f>
        <v xml:space="preserve"> </v>
      </c>
      <c r="L9" s="9">
        <f ca="1">IFERROR(VLOOKUP($A9&amp;L$1,#REF!,2,0),0)*1</f>
        <v>0</v>
      </c>
      <c r="M9" s="9" t="str">
        <f ca="1">IFERROR(VLOOKUP($A9&amp;L$1,#REF!,3,0),"")</f>
        <v/>
      </c>
    </row>
    <row r="10" spans="1:13" x14ac:dyDescent="0.4">
      <c r="A10" s="8">
        <f t="shared" ca="1" si="0"/>
        <v>45478</v>
      </c>
      <c r="B10" s="9">
        <f ca="1">IFERROR(VLOOKUP($A10&amp;B$1,#REF!,2,0),0)*1</f>
        <v>0</v>
      </c>
      <c r="C10" s="9" t="str">
        <f ca="1">IFERROR(VLOOKUP($A10&amp;B$1,#REF!,3,0)," ")</f>
        <v xml:space="preserve"> </v>
      </c>
      <c r="D10" s="9">
        <f ca="1">IFERROR(VLOOKUP($A10&amp;D$1,#REF!,2,0),0)*1</f>
        <v>0</v>
      </c>
      <c r="E10" s="9" t="str">
        <f ca="1">IFERROR(VLOOKUP($A10&amp;D$1,#REF!,3,0)," ")</f>
        <v xml:space="preserve"> </v>
      </c>
      <c r="F10" s="9">
        <f ca="1">IFERROR(VLOOKUP($A10&amp;F$1,#REF!,2,0),0)*1</f>
        <v>0</v>
      </c>
      <c r="G10" s="9" t="str">
        <f ca="1">IFERROR(VLOOKUP($A10&amp;F$1,#REF!,3,0)," ")</f>
        <v xml:space="preserve"> </v>
      </c>
      <c r="H10" s="9">
        <f ca="1">IFERROR(VLOOKUP($A10&amp;H$1,#REF!,2,0),0)*1</f>
        <v>0</v>
      </c>
      <c r="I10" s="9" t="str">
        <f ca="1">IFERROR(VLOOKUP($A10&amp;H$1,#REF!,3,0)," ")</f>
        <v xml:space="preserve"> </v>
      </c>
      <c r="J10" s="9">
        <f ca="1">IFERROR(VLOOKUP($A10&amp;J$1,#REF!,2,0),0)*1</f>
        <v>0</v>
      </c>
      <c r="K10" s="9" t="str">
        <f ca="1">IFERROR(VLOOKUP($A10&amp;J$1,#REF!,3,0)," ")</f>
        <v xml:space="preserve"> </v>
      </c>
      <c r="L10" s="9">
        <f ca="1">IFERROR(VLOOKUP($A10&amp;L$1,#REF!,2,0),0)*1</f>
        <v>0</v>
      </c>
      <c r="M10" s="9" t="str">
        <f ca="1">IFERROR(VLOOKUP($A10&amp;L$1,#REF!,3,0),"")</f>
        <v/>
      </c>
    </row>
    <row r="11" spans="1:13" x14ac:dyDescent="0.4">
      <c r="A11" s="8">
        <f t="shared" ca="1" si="0"/>
        <v>45479</v>
      </c>
      <c r="B11" s="9">
        <f ca="1">IFERROR(VLOOKUP($A11&amp;B$1,#REF!,2,0),0)*1</f>
        <v>0</v>
      </c>
      <c r="C11" s="9" t="str">
        <f ca="1">IFERROR(VLOOKUP($A11&amp;B$1,#REF!,3,0)," ")</f>
        <v xml:space="preserve"> </v>
      </c>
      <c r="D11" s="9">
        <f ca="1">IFERROR(VLOOKUP($A11&amp;D$1,#REF!,2,0),0)*1</f>
        <v>0</v>
      </c>
      <c r="E11" s="9" t="str">
        <f ca="1">IFERROR(VLOOKUP($A11&amp;D$1,#REF!,3,0)," ")</f>
        <v xml:space="preserve"> </v>
      </c>
      <c r="F11" s="9">
        <f ca="1">IFERROR(VLOOKUP($A11&amp;F$1,#REF!,2,0),0)*1</f>
        <v>0</v>
      </c>
      <c r="G11" s="9" t="str">
        <f ca="1">IFERROR(VLOOKUP($A11&amp;F$1,#REF!,3,0)," ")</f>
        <v xml:space="preserve"> </v>
      </c>
      <c r="H11" s="9">
        <f ca="1">IFERROR(VLOOKUP($A11&amp;H$1,#REF!,2,0),0)*1</f>
        <v>0</v>
      </c>
      <c r="I11" s="9" t="str">
        <f ca="1">IFERROR(VLOOKUP($A11&amp;H$1,#REF!,3,0)," ")</f>
        <v xml:space="preserve"> </v>
      </c>
      <c r="J11" s="9">
        <f ca="1">IFERROR(VLOOKUP($A11&amp;J$1,#REF!,2,0),0)*1</f>
        <v>0</v>
      </c>
      <c r="K11" s="9" t="str">
        <f ca="1">IFERROR(VLOOKUP($A11&amp;J$1,#REF!,3,0)," ")</f>
        <v xml:space="preserve"> </v>
      </c>
      <c r="L11" s="9">
        <f ca="1">IFERROR(VLOOKUP($A11&amp;L$1,#REF!,2,0),0)*1</f>
        <v>0</v>
      </c>
      <c r="M11" s="9" t="str">
        <f ca="1">IFERROR(VLOOKUP($A11&amp;L$1,#REF!,3,0),"")</f>
        <v/>
      </c>
    </row>
    <row r="12" spans="1:13" x14ac:dyDescent="0.4">
      <c r="A12" s="8">
        <f t="shared" ca="1" si="0"/>
        <v>45480</v>
      </c>
      <c r="B12" s="9">
        <f ca="1">IFERROR(VLOOKUP($A12&amp;B$1,#REF!,2,0),0)*1</f>
        <v>0</v>
      </c>
      <c r="C12" s="9" t="str">
        <f ca="1">IFERROR(VLOOKUP($A12&amp;B$1,#REF!,3,0)," ")</f>
        <v xml:space="preserve"> </v>
      </c>
      <c r="D12" s="9">
        <f ca="1">IFERROR(VLOOKUP($A12&amp;D$1,#REF!,2,0),0)*1</f>
        <v>0</v>
      </c>
      <c r="E12" s="9" t="str">
        <f ca="1">IFERROR(VLOOKUP($A12&amp;D$1,#REF!,3,0)," ")</f>
        <v xml:space="preserve"> </v>
      </c>
      <c r="F12" s="9">
        <f ca="1">IFERROR(VLOOKUP($A12&amp;F$1,#REF!,2,0),0)*1</f>
        <v>0</v>
      </c>
      <c r="G12" s="9" t="str">
        <f ca="1">IFERROR(VLOOKUP($A12&amp;F$1,#REF!,3,0)," ")</f>
        <v xml:space="preserve"> </v>
      </c>
      <c r="H12" s="9">
        <f ca="1">IFERROR(VLOOKUP($A12&amp;H$1,#REF!,2,0),0)*1</f>
        <v>0</v>
      </c>
      <c r="I12" s="9" t="str">
        <f ca="1">IFERROR(VLOOKUP($A12&amp;H$1,#REF!,3,0)," ")</f>
        <v xml:space="preserve"> </v>
      </c>
      <c r="J12" s="9">
        <f ca="1">IFERROR(VLOOKUP($A12&amp;J$1,#REF!,2,0),0)*1</f>
        <v>0</v>
      </c>
      <c r="K12" s="9" t="str">
        <f ca="1">IFERROR(VLOOKUP($A12&amp;J$1,#REF!,3,0)," ")</f>
        <v xml:space="preserve"> </v>
      </c>
      <c r="L12" s="9">
        <f ca="1">IFERROR(VLOOKUP($A12&amp;L$1,#REF!,2,0),0)*1</f>
        <v>0</v>
      </c>
      <c r="M12" s="9" t="str">
        <f ca="1">IFERROR(VLOOKUP($A12&amp;L$1,#REF!,3,0),"")</f>
        <v/>
      </c>
    </row>
    <row r="13" spans="1:13" x14ac:dyDescent="0.4">
      <c r="A13" s="8">
        <f t="shared" ca="1" si="0"/>
        <v>45481</v>
      </c>
      <c r="B13" s="9">
        <f ca="1">IFERROR(VLOOKUP($A13&amp;B$1,#REF!,2,0),0)*1</f>
        <v>0</v>
      </c>
      <c r="C13" s="9" t="str">
        <f ca="1">IFERROR(VLOOKUP($A13&amp;B$1,#REF!,3,0)," ")</f>
        <v xml:space="preserve"> </v>
      </c>
      <c r="D13" s="9">
        <f ca="1">IFERROR(VLOOKUP($A13&amp;D$1,#REF!,2,0),0)*1</f>
        <v>0</v>
      </c>
      <c r="E13" s="9" t="str">
        <f ca="1">IFERROR(VLOOKUP($A13&amp;D$1,#REF!,3,0)," ")</f>
        <v xml:space="preserve"> </v>
      </c>
      <c r="F13" s="9">
        <f ca="1">IFERROR(VLOOKUP($A13&amp;F$1,#REF!,2,0),0)*1</f>
        <v>0</v>
      </c>
      <c r="G13" s="9" t="str">
        <f ca="1">IFERROR(VLOOKUP($A13&amp;F$1,#REF!,3,0)," ")</f>
        <v xml:space="preserve"> </v>
      </c>
      <c r="H13" s="9">
        <f ca="1">IFERROR(VLOOKUP($A13&amp;H$1,#REF!,2,0),0)*1</f>
        <v>0</v>
      </c>
      <c r="I13" s="9" t="str">
        <f ca="1">IFERROR(VLOOKUP($A13&amp;H$1,#REF!,3,0)," ")</f>
        <v xml:space="preserve"> </v>
      </c>
      <c r="J13" s="9">
        <f ca="1">IFERROR(VLOOKUP($A13&amp;J$1,#REF!,2,0),0)*1</f>
        <v>0</v>
      </c>
      <c r="K13" s="9" t="str">
        <f ca="1">IFERROR(VLOOKUP($A13&amp;J$1,#REF!,3,0)," ")</f>
        <v xml:space="preserve"> </v>
      </c>
      <c r="L13" s="9">
        <f ca="1">IFERROR(VLOOKUP($A13&amp;L$1,#REF!,2,0),0)*1</f>
        <v>0</v>
      </c>
      <c r="M13" s="9" t="str">
        <f ca="1">IFERROR(VLOOKUP($A13&amp;L$1,#REF!,3,0),"")</f>
        <v/>
      </c>
    </row>
    <row r="14" spans="1:13" x14ac:dyDescent="0.4">
      <c r="A14" s="8">
        <f t="shared" ca="1" si="0"/>
        <v>45482</v>
      </c>
      <c r="B14" s="9">
        <f ca="1">IFERROR(VLOOKUP($A14&amp;B$1,#REF!,2,0),0)*1</f>
        <v>0</v>
      </c>
      <c r="C14" s="9" t="str">
        <f ca="1">IFERROR(VLOOKUP($A14&amp;B$1,#REF!,3,0)," ")</f>
        <v xml:space="preserve"> </v>
      </c>
      <c r="D14" s="9">
        <f ca="1">IFERROR(VLOOKUP($A14&amp;D$1,#REF!,2,0),0)*1</f>
        <v>0</v>
      </c>
      <c r="E14" s="9" t="str">
        <f ca="1">IFERROR(VLOOKUP($A14&amp;D$1,#REF!,3,0)," ")</f>
        <v xml:space="preserve"> </v>
      </c>
      <c r="F14" s="9">
        <f ca="1">IFERROR(VLOOKUP($A14&amp;F$1,#REF!,2,0),0)*1</f>
        <v>0</v>
      </c>
      <c r="G14" s="9" t="str">
        <f ca="1">IFERROR(VLOOKUP($A14&amp;F$1,#REF!,3,0)," ")</f>
        <v xml:space="preserve"> </v>
      </c>
      <c r="H14" s="9">
        <f ca="1">IFERROR(VLOOKUP($A14&amp;H$1,#REF!,2,0),0)*1</f>
        <v>0</v>
      </c>
      <c r="I14" s="9" t="str">
        <f ca="1">IFERROR(VLOOKUP($A14&amp;H$1,#REF!,3,0)," ")</f>
        <v xml:space="preserve"> </v>
      </c>
      <c r="J14" s="9">
        <f ca="1">IFERROR(VLOOKUP($A14&amp;J$1,#REF!,2,0),0)*1</f>
        <v>0</v>
      </c>
      <c r="K14" s="9" t="str">
        <f ca="1">IFERROR(VLOOKUP($A14&amp;J$1,#REF!,3,0)," ")</f>
        <v xml:space="preserve"> </v>
      </c>
      <c r="L14" s="9">
        <f ca="1">IFERROR(VLOOKUP($A14&amp;L$1,#REF!,2,0),0)*1</f>
        <v>0</v>
      </c>
      <c r="M14" s="9" t="str">
        <f ca="1">IFERROR(VLOOKUP($A14&amp;L$1,#REF!,3,0),"")</f>
        <v/>
      </c>
    </row>
    <row r="15" spans="1:13" x14ac:dyDescent="0.4">
      <c r="A15" s="8">
        <f t="shared" ca="1" si="0"/>
        <v>45483</v>
      </c>
      <c r="B15" s="9">
        <f ca="1">IFERROR(VLOOKUP($A15&amp;B$1,#REF!,2,0),0)*1</f>
        <v>0</v>
      </c>
      <c r="C15" s="9" t="str">
        <f ca="1">IFERROR(VLOOKUP($A15&amp;B$1,#REF!,3,0)," ")</f>
        <v xml:space="preserve"> </v>
      </c>
      <c r="D15" s="9">
        <f ca="1">IFERROR(VLOOKUP($A15&amp;D$1,#REF!,2,0),0)*1</f>
        <v>0</v>
      </c>
      <c r="E15" s="9" t="str">
        <f ca="1">IFERROR(VLOOKUP($A15&amp;D$1,#REF!,3,0)," ")</f>
        <v xml:space="preserve"> </v>
      </c>
      <c r="F15" s="9">
        <f ca="1">IFERROR(VLOOKUP($A15&amp;F$1,#REF!,2,0),0)*1</f>
        <v>0</v>
      </c>
      <c r="G15" s="9" t="str">
        <f ca="1">IFERROR(VLOOKUP($A15&amp;F$1,#REF!,3,0)," ")</f>
        <v xml:space="preserve"> </v>
      </c>
      <c r="H15" s="9">
        <f ca="1">IFERROR(VLOOKUP($A15&amp;H$1,#REF!,2,0),0)*1</f>
        <v>0</v>
      </c>
      <c r="I15" s="9" t="str">
        <f ca="1">IFERROR(VLOOKUP($A15&amp;H$1,#REF!,3,0)," ")</f>
        <v xml:space="preserve"> </v>
      </c>
      <c r="J15" s="9">
        <f ca="1">IFERROR(VLOOKUP($A15&amp;J$1,#REF!,2,0),0)*1</f>
        <v>0</v>
      </c>
      <c r="K15" s="9" t="str">
        <f ca="1">IFERROR(VLOOKUP($A15&amp;J$1,#REF!,3,0)," ")</f>
        <v xml:space="preserve"> </v>
      </c>
      <c r="L15" s="9">
        <f ca="1">IFERROR(VLOOKUP($A15&amp;L$1,#REF!,2,0),0)*1</f>
        <v>0</v>
      </c>
      <c r="M15" s="9" t="str">
        <f ca="1">IFERROR(VLOOKUP($A15&amp;L$1,#REF!,3,0),"")</f>
        <v/>
      </c>
    </row>
    <row r="16" spans="1:13" x14ac:dyDescent="0.4">
      <c r="A16" s="8">
        <f t="shared" ca="1" si="0"/>
        <v>45484</v>
      </c>
      <c r="B16" s="9">
        <f ca="1">IFERROR(VLOOKUP($A16&amp;B$1,#REF!,2,0),0)*1</f>
        <v>0</v>
      </c>
      <c r="C16" s="9" t="str">
        <f ca="1">IFERROR(VLOOKUP($A16&amp;B$1,#REF!,3,0)," ")</f>
        <v xml:space="preserve"> </v>
      </c>
      <c r="D16" s="9">
        <f ca="1">IFERROR(VLOOKUP($A16&amp;D$1,#REF!,2,0),0)*1</f>
        <v>0</v>
      </c>
      <c r="E16" s="9" t="str">
        <f ca="1">IFERROR(VLOOKUP($A16&amp;D$1,#REF!,3,0)," ")</f>
        <v xml:space="preserve"> </v>
      </c>
      <c r="F16" s="9">
        <f ca="1">IFERROR(VLOOKUP($A16&amp;F$1,#REF!,2,0),0)*1</f>
        <v>0</v>
      </c>
      <c r="G16" s="9" t="str">
        <f ca="1">IFERROR(VLOOKUP($A16&amp;F$1,#REF!,3,0)," ")</f>
        <v xml:space="preserve"> </v>
      </c>
      <c r="H16" s="9">
        <f ca="1">IFERROR(VLOOKUP($A16&amp;H$1,#REF!,2,0),0)*1</f>
        <v>0</v>
      </c>
      <c r="I16" s="9" t="str">
        <f ca="1">IFERROR(VLOOKUP($A16&amp;H$1,#REF!,3,0)," ")</f>
        <v xml:space="preserve"> </v>
      </c>
      <c r="J16" s="9">
        <f ca="1">IFERROR(VLOOKUP($A16&amp;J$1,#REF!,2,0),0)*1</f>
        <v>0</v>
      </c>
      <c r="K16" s="9" t="str">
        <f ca="1">IFERROR(VLOOKUP($A16&amp;J$1,#REF!,3,0)," ")</f>
        <v xml:space="preserve"> </v>
      </c>
      <c r="L16" s="9">
        <f ca="1">IFERROR(VLOOKUP($A16&amp;L$1,#REF!,2,0),0)*1</f>
        <v>0</v>
      </c>
      <c r="M16" s="9" t="str">
        <f ca="1">IFERROR(VLOOKUP($A16&amp;L$1,#REF!,3,0),"")</f>
        <v/>
      </c>
    </row>
    <row r="17" spans="1:13" x14ac:dyDescent="0.4">
      <c r="A17" s="8">
        <f t="shared" ca="1" si="0"/>
        <v>45485</v>
      </c>
      <c r="B17" s="9">
        <f ca="1">IFERROR(VLOOKUP($A17&amp;B$1,#REF!,2,0),0)*1</f>
        <v>0</v>
      </c>
      <c r="C17" s="9" t="str">
        <f ca="1">IFERROR(VLOOKUP($A17&amp;B$1,#REF!,3,0)," ")</f>
        <v xml:space="preserve"> </v>
      </c>
      <c r="D17" s="9">
        <f ca="1">IFERROR(VLOOKUP($A17&amp;D$1,#REF!,2,0),0)*1</f>
        <v>0</v>
      </c>
      <c r="E17" s="9" t="str">
        <f ca="1">IFERROR(VLOOKUP($A17&amp;D$1,#REF!,3,0)," ")</f>
        <v xml:space="preserve"> </v>
      </c>
      <c r="F17" s="9">
        <f ca="1">IFERROR(VLOOKUP($A17&amp;F$1,#REF!,2,0),0)*1</f>
        <v>0</v>
      </c>
      <c r="G17" s="9" t="str">
        <f ca="1">IFERROR(VLOOKUP($A17&amp;F$1,#REF!,3,0)," ")</f>
        <v xml:space="preserve"> </v>
      </c>
      <c r="H17" s="9">
        <f ca="1">IFERROR(VLOOKUP($A17&amp;H$1,#REF!,2,0),0)*1</f>
        <v>0</v>
      </c>
      <c r="I17" s="9" t="str">
        <f ca="1">IFERROR(VLOOKUP($A17&amp;H$1,#REF!,3,0)," ")</f>
        <v xml:space="preserve"> </v>
      </c>
      <c r="J17" s="9">
        <f ca="1">IFERROR(VLOOKUP($A17&amp;J$1,#REF!,2,0),0)*1</f>
        <v>0</v>
      </c>
      <c r="K17" s="9" t="str">
        <f ca="1">IFERROR(VLOOKUP($A17&amp;J$1,#REF!,3,0)," ")</f>
        <v xml:space="preserve"> </v>
      </c>
      <c r="L17" s="9">
        <f ca="1">IFERROR(VLOOKUP($A17&amp;L$1,#REF!,2,0),0)*1</f>
        <v>0</v>
      </c>
      <c r="M17" s="9" t="str">
        <f ca="1">IFERROR(VLOOKUP($A17&amp;L$1,#REF!,3,0),"")</f>
        <v/>
      </c>
    </row>
    <row r="18" spans="1:13" x14ac:dyDescent="0.4">
      <c r="A18" s="8">
        <f t="shared" ca="1" si="0"/>
        <v>45486</v>
      </c>
      <c r="B18" s="9">
        <f ca="1">IFERROR(VLOOKUP($A18&amp;B$1,#REF!,2,0),0)*1</f>
        <v>0</v>
      </c>
      <c r="C18" s="9" t="str">
        <f ca="1">IFERROR(VLOOKUP($A18&amp;B$1,#REF!,3,0)," ")</f>
        <v xml:space="preserve"> </v>
      </c>
      <c r="D18" s="9">
        <f ca="1">IFERROR(VLOOKUP($A18&amp;D$1,#REF!,2,0),0)*1</f>
        <v>0</v>
      </c>
      <c r="E18" s="9" t="str">
        <f ca="1">IFERROR(VLOOKUP($A18&amp;D$1,#REF!,3,0)," ")</f>
        <v xml:space="preserve"> </v>
      </c>
      <c r="F18" s="9">
        <f ca="1">IFERROR(VLOOKUP($A18&amp;F$1,#REF!,2,0),0)*1</f>
        <v>0</v>
      </c>
      <c r="G18" s="9" t="str">
        <f ca="1">IFERROR(VLOOKUP($A18&amp;F$1,#REF!,3,0)," ")</f>
        <v xml:space="preserve"> </v>
      </c>
      <c r="H18" s="9">
        <f ca="1">IFERROR(VLOOKUP($A18&amp;H$1,#REF!,2,0),0)*1</f>
        <v>0</v>
      </c>
      <c r="I18" s="9" t="str">
        <f ca="1">IFERROR(VLOOKUP($A18&amp;H$1,#REF!,3,0)," ")</f>
        <v xml:space="preserve"> </v>
      </c>
      <c r="J18" s="9">
        <f ca="1">IFERROR(VLOOKUP($A18&amp;J$1,#REF!,2,0),0)*1</f>
        <v>0</v>
      </c>
      <c r="K18" s="9" t="str">
        <f ca="1">IFERROR(VLOOKUP($A18&amp;J$1,#REF!,3,0)," ")</f>
        <v xml:space="preserve"> </v>
      </c>
      <c r="L18" s="9">
        <f ca="1">IFERROR(VLOOKUP($A18&amp;L$1,#REF!,2,0),0)*1</f>
        <v>0</v>
      </c>
      <c r="M18" s="9" t="str">
        <f ca="1">IFERROR(VLOOKUP($A18&amp;L$1,#REF!,3,0),"")</f>
        <v/>
      </c>
    </row>
    <row r="19" spans="1:13" x14ac:dyDescent="0.4">
      <c r="A19" s="8">
        <f t="shared" ca="1" si="0"/>
        <v>45487</v>
      </c>
      <c r="B19" s="9">
        <f ca="1">IFERROR(VLOOKUP($A19&amp;B$1,#REF!,2,0),0)*1</f>
        <v>0</v>
      </c>
      <c r="C19" s="9" t="str">
        <f ca="1">IFERROR(VLOOKUP($A19&amp;B$1,#REF!,3,0)," ")</f>
        <v xml:space="preserve"> </v>
      </c>
      <c r="D19" s="9">
        <f ca="1">IFERROR(VLOOKUP($A19&amp;D$1,#REF!,2,0),0)*1</f>
        <v>0</v>
      </c>
      <c r="E19" s="9" t="str">
        <f ca="1">IFERROR(VLOOKUP($A19&amp;D$1,#REF!,3,0)," ")</f>
        <v xml:space="preserve"> </v>
      </c>
      <c r="F19" s="9">
        <f ca="1">IFERROR(VLOOKUP($A19&amp;F$1,#REF!,2,0),0)*1</f>
        <v>0</v>
      </c>
      <c r="G19" s="9" t="str">
        <f ca="1">IFERROR(VLOOKUP($A19&amp;F$1,#REF!,3,0)," ")</f>
        <v xml:space="preserve"> </v>
      </c>
      <c r="H19" s="9">
        <f ca="1">IFERROR(VLOOKUP($A19&amp;H$1,#REF!,2,0),0)*1</f>
        <v>0</v>
      </c>
      <c r="I19" s="9" t="str">
        <f ca="1">IFERROR(VLOOKUP($A19&amp;H$1,#REF!,3,0)," ")</f>
        <v xml:space="preserve"> </v>
      </c>
      <c r="J19" s="9">
        <f ca="1">IFERROR(VLOOKUP($A19&amp;J$1,#REF!,2,0),0)*1</f>
        <v>0</v>
      </c>
      <c r="K19" s="9" t="str">
        <f ca="1">IFERROR(VLOOKUP($A19&amp;J$1,#REF!,3,0)," ")</f>
        <v xml:space="preserve"> </v>
      </c>
      <c r="L19" s="9">
        <f ca="1">IFERROR(VLOOKUP($A19&amp;L$1,#REF!,2,0),0)*1</f>
        <v>0</v>
      </c>
      <c r="M19" s="9" t="str">
        <f ca="1">IFERROR(VLOOKUP($A19&amp;L$1,#REF!,3,0),"")</f>
        <v/>
      </c>
    </row>
    <row r="20" spans="1:13" x14ac:dyDescent="0.4">
      <c r="A20" s="8">
        <f ca="1">A21-1</f>
        <v>45488</v>
      </c>
      <c r="B20" s="9">
        <f ca="1">IFERROR(VLOOKUP($A20&amp;B$1,#REF!,2,0),0)*1</f>
        <v>0</v>
      </c>
      <c r="C20" s="9" t="str">
        <f ca="1">IFERROR(VLOOKUP($A20&amp;B$1,#REF!,3,0)," ")</f>
        <v xml:space="preserve"> </v>
      </c>
      <c r="D20" s="9">
        <f ca="1">IFERROR(VLOOKUP($A20&amp;D$1,#REF!,2,0),0)*1</f>
        <v>0</v>
      </c>
      <c r="E20" s="9" t="str">
        <f ca="1">IFERROR(VLOOKUP($A20&amp;D$1,#REF!,3,0)," ")</f>
        <v xml:space="preserve"> </v>
      </c>
      <c r="F20" s="9">
        <f ca="1">IFERROR(VLOOKUP($A20&amp;F$1,#REF!,2,0),0)*1</f>
        <v>0</v>
      </c>
      <c r="G20" s="9" t="str">
        <f ca="1">IFERROR(VLOOKUP($A20&amp;F$1,#REF!,3,0)," ")</f>
        <v xml:space="preserve"> </v>
      </c>
      <c r="H20" s="9">
        <f ca="1">IFERROR(VLOOKUP($A20&amp;H$1,#REF!,2,0),0)*1</f>
        <v>0</v>
      </c>
      <c r="I20" s="9" t="str">
        <f ca="1">IFERROR(VLOOKUP($A20&amp;H$1,#REF!,3,0)," ")</f>
        <v xml:space="preserve"> </v>
      </c>
      <c r="J20" s="9">
        <f ca="1">IFERROR(VLOOKUP($A20&amp;J$1,#REF!,2,0),0)*1</f>
        <v>0</v>
      </c>
      <c r="K20" s="9" t="str">
        <f ca="1">IFERROR(VLOOKUP($A20&amp;J$1,#REF!,3,0)," ")</f>
        <v xml:space="preserve"> </v>
      </c>
      <c r="L20" s="9">
        <f ca="1">IFERROR(VLOOKUP($A20&amp;L$1,#REF!,2,0),0)*1</f>
        <v>0</v>
      </c>
      <c r="M20" s="9" t="str">
        <f ca="1">IFERROR(VLOOKUP($A20&amp;L$1,#REF!,3,0),"")</f>
        <v/>
      </c>
    </row>
    <row r="21" spans="1:13" x14ac:dyDescent="0.4">
      <c r="A21" s="8">
        <f ca="1">TODAY()-1</f>
        <v>45489</v>
      </c>
      <c r="B21" s="9">
        <f ca="1">IFERROR(VLOOKUP($A21&amp;B$1,#REF!,2,0),0)*1</f>
        <v>0</v>
      </c>
      <c r="C21" s="9" t="str">
        <f ca="1">IFERROR(VLOOKUP($A21&amp;B$1,#REF!,3,0)," ")</f>
        <v xml:space="preserve"> </v>
      </c>
      <c r="D21" s="9">
        <f ca="1">IFERROR(VLOOKUP($A21&amp;D$1,#REF!,2,0),0)*1</f>
        <v>0</v>
      </c>
      <c r="E21" s="9" t="str">
        <f ca="1">IFERROR(VLOOKUP($A21&amp;D$1,#REF!,3,0)," ")</f>
        <v xml:space="preserve"> </v>
      </c>
      <c r="F21" s="9">
        <f ca="1">IFERROR(VLOOKUP($A21&amp;F$1,#REF!,2,0),0)*1</f>
        <v>0</v>
      </c>
      <c r="G21" s="9" t="str">
        <f ca="1">IFERROR(VLOOKUP($A21&amp;F$1,#REF!,3,0)," ")</f>
        <v xml:space="preserve"> </v>
      </c>
      <c r="H21" s="9">
        <f ca="1">IFERROR(VLOOKUP($A21&amp;H$1,#REF!,2,0),0)*1</f>
        <v>0</v>
      </c>
      <c r="I21" s="9" t="str">
        <f ca="1">IFERROR(VLOOKUP($A21&amp;H$1,#REF!,3,0)," ")</f>
        <v xml:space="preserve"> </v>
      </c>
      <c r="J21" s="9">
        <f ca="1">IFERROR(VLOOKUP($A21&amp;J$1,#REF!,2,0),0)*1</f>
        <v>0</v>
      </c>
      <c r="K21" s="9" t="str">
        <f ca="1">IFERROR(VLOOKUP($A21&amp;J$1,#REF!,3,0)," ")</f>
        <v xml:space="preserve"> </v>
      </c>
      <c r="L21" s="9">
        <f ca="1">IFERROR(VLOOKUP($A21&amp;L$1,#REF!,2,0),0)*1</f>
        <v>0</v>
      </c>
      <c r="M21" s="9" t="str">
        <f ca="1">IFERROR(VLOOKUP($A21&amp;L$1,#REF!,3,0),"")</f>
        <v/>
      </c>
    </row>
    <row r="56" spans="1:1" ht="16.5" x14ac:dyDescent="0.4">
      <c r="A56" s="77"/>
    </row>
    <row r="75" ht="21" customHeight="1" x14ac:dyDescent="0.4"/>
  </sheetData>
  <mergeCells count="7">
    <mergeCell ref="L1:M1"/>
    <mergeCell ref="A1:A2"/>
    <mergeCell ref="B1:C1"/>
    <mergeCell ref="D1:E1"/>
    <mergeCell ref="F1:G1"/>
    <mergeCell ref="H1:I1"/>
    <mergeCell ref="J1:K1"/>
  </mergeCells>
  <phoneticPr fontId="9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4"/>
  <sheetViews>
    <sheetView zoomScale="120" zoomScaleNormal="120" workbookViewId="0">
      <selection activeCell="E25" sqref="E25"/>
    </sheetView>
  </sheetViews>
  <sheetFormatPr defaultColWidth="8.58203125" defaultRowHeight="15" x14ac:dyDescent="0.25"/>
  <cols>
    <col min="1" max="16384" width="8.58203125" style="2"/>
  </cols>
  <sheetData>
    <row r="1" spans="1:5" x14ac:dyDescent="0.25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</row>
    <row r="2" spans="1:5" x14ac:dyDescent="0.25">
      <c r="A2" s="2" t="s">
        <v>57</v>
      </c>
      <c r="B2" s="1">
        <v>7.6426785201801619E-3</v>
      </c>
      <c r="C2" s="1">
        <v>6.4134679266584513E-3</v>
      </c>
      <c r="D2" s="1">
        <v>7.4411613351206265E-3</v>
      </c>
      <c r="E2" s="1">
        <v>8.2543220074290467E-3</v>
      </c>
    </row>
    <row r="3" spans="1:5" x14ac:dyDescent="0.25">
      <c r="A3" s="2" t="s">
        <v>46</v>
      </c>
      <c r="B3" s="1">
        <v>9.0158993005257232E-3</v>
      </c>
      <c r="C3" s="1">
        <v>6.3730976328880626E-3</v>
      </c>
      <c r="D3" s="1">
        <v>6.8254934766210787E-3</v>
      </c>
      <c r="E3" s="1">
        <v>5.706806462893543E-3</v>
      </c>
    </row>
    <row r="4" spans="1:5" x14ac:dyDescent="0.25">
      <c r="A4" s="2" t="s">
        <v>55</v>
      </c>
      <c r="B4" s="1">
        <v>9.587171103218016E-3</v>
      </c>
      <c r="C4" s="1">
        <v>9.9358258478401667E-3</v>
      </c>
      <c r="D4" s="1">
        <v>6.5268263763098647E-3</v>
      </c>
      <c r="E4" s="1">
        <v>4.8471349646505022E-3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PUSH日报</vt:lpstr>
      <vt:lpstr>全量PUSH </vt:lpstr>
      <vt:lpstr>个性化PUSH</vt:lpstr>
      <vt:lpstr>编辑贡献打开率</vt:lpstr>
      <vt:lpstr>源-编辑点击率</vt:lpstr>
      <vt:lpstr>区域编辑点击率</vt:lpstr>
      <vt:lpstr>个性化监测条件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冀爱文</dc:creator>
  <cp:lastModifiedBy>小白 吴</cp:lastModifiedBy>
  <cp:lastPrinted>2020-07-30T02:01:00Z</cp:lastPrinted>
  <dcterms:created xsi:type="dcterms:W3CDTF">2020-08-04T00:18:00Z</dcterms:created>
  <dcterms:modified xsi:type="dcterms:W3CDTF">2024-07-17T14:01:57Z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2052-11.1.0.10069</vt:lpwstr>
  </property>
  <property fmtid="{D5CDD505-2E9C-101B-9397-08002B2CF9AE}" pid="3" name="WorkbookGuid">
    <vt:lpwstr>ad90fcd7-0f14-4100-91b2-e9cde962b135</vt:lpwstr>
  </property>
</Properties>
</file>