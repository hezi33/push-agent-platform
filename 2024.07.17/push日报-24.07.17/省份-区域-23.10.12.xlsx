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nsiqi\Desktop\日报1\push日报-23.10.11\"/>
    </mc:Choice>
  </mc:AlternateContent>
  <bookViews>
    <workbookView xWindow="-110" yWindow="-110" windowWidth="19430" windowHeight="10310"/>
  </bookViews>
  <sheets>
    <sheet name="Sheet1" sheetId="1" r:id="rId1"/>
    <sheet name="辅助" sheetId="3" r:id="rId2"/>
    <sheet name="Sheet2" sheetId="2" state="hidden" r:id="rId3"/>
  </sheets>
  <definedNames>
    <definedName name="_xlnm._FilterDatabase" localSheetId="0" hidden="1">Sheet1!$A$1:$D$33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D2" i="1"/>
  <c r="E2" i="1"/>
  <c r="C2" i="1"/>
  <c r="U7" i="2" l="1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V3" i="2"/>
  <c r="V4" i="2"/>
  <c r="V5" i="2"/>
  <c r="V6" i="2"/>
  <c r="V2" i="2"/>
  <c r="U3" i="2"/>
  <c r="U4" i="2"/>
  <c r="U5" i="2"/>
  <c r="U6" i="2"/>
  <c r="U2" i="2"/>
</calcChain>
</file>

<file path=xl/sharedStrings.xml><?xml version="1.0" encoding="utf-8"?>
<sst xmlns="http://schemas.openxmlformats.org/spreadsheetml/2006/main" count="450" uniqueCount="111">
  <si>
    <t>省份</t>
    <phoneticPr fontId="3" type="noConversion"/>
  </si>
  <si>
    <t>广东省</t>
  </si>
  <si>
    <t>江苏省</t>
  </si>
  <si>
    <t>浙江省</t>
  </si>
  <si>
    <t>北京市</t>
  </si>
  <si>
    <t>上海市</t>
  </si>
  <si>
    <t>山东省</t>
  </si>
  <si>
    <t>四川省</t>
    <phoneticPr fontId="3" type="noConversion"/>
  </si>
  <si>
    <t>湖北省</t>
  </si>
  <si>
    <t>辽宁省</t>
  </si>
  <si>
    <t>重庆市</t>
  </si>
  <si>
    <t>天津市</t>
  </si>
  <si>
    <t>黑龙江省</t>
  </si>
  <si>
    <t>吉林省</t>
  </si>
  <si>
    <t>新疆维吾尔自治区</t>
  </si>
  <si>
    <t>西藏自治区</t>
  </si>
  <si>
    <t>河南省</t>
  </si>
  <si>
    <t>河北省</t>
  </si>
  <si>
    <t>陕西省</t>
  </si>
  <si>
    <t>福建省</t>
  </si>
  <si>
    <t>湖南省</t>
  </si>
  <si>
    <t>安徽省</t>
  </si>
  <si>
    <t>山西省</t>
  </si>
  <si>
    <t>云南省</t>
  </si>
  <si>
    <t>广西壮族自治区</t>
  </si>
  <si>
    <t>江西省</t>
  </si>
  <si>
    <t>贵州省</t>
  </si>
  <si>
    <t>内蒙古自治区</t>
  </si>
  <si>
    <t>甘肃省</t>
  </si>
  <si>
    <t>海南省</t>
  </si>
  <si>
    <t>青海省</t>
  </si>
  <si>
    <t>宁夏回族自治区</t>
  </si>
  <si>
    <t>台湾省</t>
  </si>
  <si>
    <t>本地一区</t>
  </si>
  <si>
    <t>本地二区</t>
  </si>
  <si>
    <t>本地三区</t>
  </si>
  <si>
    <t>本地一区</t>
    <phoneticPr fontId="2" type="noConversion"/>
  </si>
  <si>
    <t>沪</t>
  </si>
  <si>
    <t>鲁</t>
  </si>
  <si>
    <t>津</t>
  </si>
  <si>
    <t>豫</t>
  </si>
  <si>
    <t>渝</t>
  </si>
  <si>
    <t>冀</t>
  </si>
  <si>
    <t>湘</t>
  </si>
  <si>
    <t>皖</t>
  </si>
  <si>
    <t>鄂</t>
  </si>
  <si>
    <t>赣</t>
  </si>
  <si>
    <t>川</t>
  </si>
  <si>
    <t>闵</t>
  </si>
  <si>
    <t>桂</t>
  </si>
  <si>
    <t>辽</t>
  </si>
  <si>
    <t>云</t>
  </si>
  <si>
    <t>黑</t>
  </si>
  <si>
    <t>贵</t>
  </si>
  <si>
    <t>吉</t>
  </si>
  <si>
    <t>晋</t>
  </si>
  <si>
    <t>陕</t>
  </si>
  <si>
    <t>琼</t>
  </si>
  <si>
    <t>青</t>
  </si>
  <si>
    <t>新</t>
  </si>
  <si>
    <t>宁</t>
  </si>
  <si>
    <t>蒙</t>
  </si>
  <si>
    <t>甘</t>
  </si>
  <si>
    <t>本地二区</t>
    <phoneticPr fontId="2" type="noConversion"/>
  </si>
  <si>
    <t>省份</t>
    <phoneticPr fontId="2" type="noConversion"/>
  </si>
  <si>
    <t>区域</t>
    <phoneticPr fontId="2" type="noConversion"/>
  </si>
  <si>
    <t>上海市</t>
    <phoneticPr fontId="2" type="noConversion"/>
  </si>
  <si>
    <t>天津市</t>
    <phoneticPr fontId="2" type="noConversion"/>
  </si>
  <si>
    <t>重庆市</t>
    <phoneticPr fontId="2" type="noConversion"/>
  </si>
  <si>
    <t>湖南省</t>
    <phoneticPr fontId="2" type="noConversion"/>
  </si>
  <si>
    <t>湖北省</t>
    <phoneticPr fontId="2" type="noConversion"/>
  </si>
  <si>
    <t>四川省</t>
    <phoneticPr fontId="2" type="noConversion"/>
  </si>
  <si>
    <t>云南省</t>
    <phoneticPr fontId="2" type="noConversion"/>
  </si>
  <si>
    <t>贵州省</t>
    <phoneticPr fontId="2" type="noConversion"/>
  </si>
  <si>
    <t>山西省</t>
    <phoneticPr fontId="2" type="noConversion"/>
  </si>
  <si>
    <t>海南省</t>
    <phoneticPr fontId="2" type="noConversion"/>
  </si>
  <si>
    <t>山东省</t>
    <phoneticPr fontId="2" type="noConversion"/>
  </si>
  <si>
    <t>河南省</t>
    <phoneticPr fontId="2" type="noConversion"/>
  </si>
  <si>
    <t>河北省</t>
    <phoneticPr fontId="2" type="noConversion"/>
  </si>
  <si>
    <t>安徽省</t>
    <phoneticPr fontId="2" type="noConversion"/>
  </si>
  <si>
    <t>江西省</t>
    <phoneticPr fontId="2" type="noConversion"/>
  </si>
  <si>
    <t>福建省</t>
    <phoneticPr fontId="2" type="noConversion"/>
  </si>
  <si>
    <t>辽宁省</t>
    <phoneticPr fontId="2" type="noConversion"/>
  </si>
  <si>
    <t>黑龙江省</t>
    <phoneticPr fontId="2" type="noConversion"/>
  </si>
  <si>
    <t>吉林省</t>
    <phoneticPr fontId="2" type="noConversion"/>
  </si>
  <si>
    <t>陕西省</t>
    <phoneticPr fontId="2" type="noConversion"/>
  </si>
  <si>
    <t>青海省</t>
    <phoneticPr fontId="2" type="noConversion"/>
  </si>
  <si>
    <t>甘肃省</t>
    <phoneticPr fontId="2" type="noConversion"/>
  </si>
  <si>
    <t>测试区</t>
  </si>
  <si>
    <t>粤</t>
  </si>
  <si>
    <t>原46000</t>
  </si>
  <si>
    <t>苏</t>
  </si>
  <si>
    <t>浙</t>
  </si>
  <si>
    <t>任务量</t>
  </si>
  <si>
    <t>粤、苏浙+本地4人分工</t>
  </si>
  <si>
    <t>本地三区</t>
    <phoneticPr fontId="2" type="noConversion"/>
  </si>
  <si>
    <t>本地四区</t>
    <phoneticPr fontId="2" type="noConversion"/>
  </si>
  <si>
    <t>省份简称</t>
    <phoneticPr fontId="2" type="noConversion"/>
  </si>
  <si>
    <t>3人区域</t>
    <phoneticPr fontId="2" type="noConversion"/>
  </si>
  <si>
    <t>4人区域</t>
    <phoneticPr fontId="2" type="noConversion"/>
  </si>
  <si>
    <t>本地四区</t>
  </si>
  <si>
    <t>闽</t>
  </si>
  <si>
    <t>闽</t>
    <phoneticPr fontId="2" type="noConversion"/>
  </si>
  <si>
    <t>省份简称</t>
    <phoneticPr fontId="2" type="noConversion"/>
  </si>
  <si>
    <t>京</t>
    <phoneticPr fontId="2" type="noConversion"/>
  </si>
  <si>
    <t>藏</t>
    <phoneticPr fontId="2" type="noConversion"/>
  </si>
  <si>
    <t>台</t>
    <phoneticPr fontId="2" type="noConversion"/>
  </si>
  <si>
    <t>2人区域</t>
    <phoneticPr fontId="2" type="noConversion"/>
  </si>
  <si>
    <t>本地小三区</t>
    <phoneticPr fontId="2" type="noConversion"/>
  </si>
  <si>
    <t>5人区域</t>
    <phoneticPr fontId="2" type="noConversion"/>
  </si>
  <si>
    <t>本地所有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</si>
</sst>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8" fillId="0" borderId="0"/>
  </cellStyleXfs>
  <cellXfs count="14">
    <xf numFmtId="0" fontId="0" fillId="0" borderId="0" xfId="0">
      <alignment vertical="center"/>
    </xf>
    <xf numFmtId="0" fontId="1" fillId="0" borderId="0" xfId="0" applyFont="1" applyAlignment="1"/>
    <xf numFmtId="0" fontId="4" fillId="0" borderId="0" xfId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0" fillId="2" borderId="0" xfId="0" applyFill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2"/>
    <cellStyle name="常规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H27" sqref="H27"/>
    </sheetView>
  </sheetViews>
  <sheetFormatPr defaultRowHeight="14" x14ac:dyDescent="0.3"/>
  <cols>
    <col min="1" max="1" width="17.25" bestFit="1" customWidth="1"/>
    <col min="2" max="3" width="17.25" customWidth="1"/>
    <col min="4" max="4" width="11.58203125" bestFit="1" customWidth="1"/>
    <col min="6" max="6" width="11" bestFit="1" customWidth="1"/>
  </cols>
  <sheetData>
    <row r="1" spans="1:7" x14ac:dyDescent="0.3">
      <c r="A1" s="1" t="s">
        <v>0</v>
      </c>
      <c r="B1" s="1" t="s">
        <v>103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s="2" t="s">
        <v>1</v>
      </c>
      <c r="B2" s="2" t="s">
        <v>89</v>
      </c>
      <c r="C2" s="2" t="str">
        <f>IFERROR(VLOOKUP($B2,辅助!$A:$D,MATCH(C$1&amp;"人区域",辅助!$A$1:$D$1,0),0),"")</f>
        <v>本地一区</v>
      </c>
      <c r="D2" s="2" t="str">
        <f>IFERROR(VLOOKUP($B2,辅助!$A:$D,MATCH(D$1&amp;"人区域",辅助!$A$1:$D$1,0),0),"")</f>
        <v>本地一区</v>
      </c>
      <c r="E2" s="2" t="str">
        <f>IFERROR(VLOOKUP($B2,辅助!$A:$D,MATCH(E$1&amp;"人区域",辅助!$A$1:$D$1,0),0),"")</f>
        <v>本地一区</v>
      </c>
      <c r="F2" s="2" t="str">
        <f>IFERROR(VLOOKUP($B2,辅助!$A:$E,MATCH(F$1&amp;"人区域",辅助!$A$1:$E$1,0),0),"")</f>
        <v>本地一区</v>
      </c>
      <c r="G2" t="s">
        <v>110</v>
      </c>
    </row>
    <row r="3" spans="1:7" x14ac:dyDescent="0.3">
      <c r="A3" s="2" t="s">
        <v>2</v>
      </c>
      <c r="B3" s="2" t="s">
        <v>91</v>
      </c>
      <c r="C3" s="2" t="str">
        <f>IFERROR(VLOOKUP($B3,辅助!$A:$D,MATCH(C$1&amp;"人区域",辅助!$A$1:$D$1,0),0),"")</f>
        <v>本地二区</v>
      </c>
      <c r="D3" s="2" t="str">
        <f>IFERROR(VLOOKUP($B3,辅助!$A:$D,MATCH(D$1&amp;"人区域",辅助!$A$1:$D$1,0),0),"")</f>
        <v>本地二区</v>
      </c>
      <c r="E3" s="2" t="str">
        <f>IFERROR(VLOOKUP($B3,辅助!$A:$D,MATCH(E$1&amp;"人区域",辅助!$A$1:$D$1,0),0),"")</f>
        <v>本地二区</v>
      </c>
      <c r="F3" s="2" t="str">
        <f>IFERROR(VLOOKUP($B3,辅助!$A:$E,MATCH(F$1&amp;"人区域",辅助!$A$1:$E$1,0),0),"")</f>
        <v>本地二区</v>
      </c>
      <c r="G3" t="s">
        <v>110</v>
      </c>
    </row>
    <row r="4" spans="1:7" x14ac:dyDescent="0.3">
      <c r="A4" s="2" t="s">
        <v>3</v>
      </c>
      <c r="B4" s="2" t="s">
        <v>92</v>
      </c>
      <c r="C4" s="2" t="str">
        <f>IFERROR(VLOOKUP($B4,辅助!$A:$D,MATCH(C$1&amp;"人区域",辅助!$A$1:$D$1,0),0),"")</f>
        <v>本地二区</v>
      </c>
      <c r="D4" s="2" t="str">
        <f>IFERROR(VLOOKUP($B4,辅助!$A:$D,MATCH(D$1&amp;"人区域",辅助!$A$1:$D$1,0),0),"")</f>
        <v>本地二区</v>
      </c>
      <c r="E4" s="2" t="str">
        <f>IFERROR(VLOOKUP($B4,辅助!$A:$D,MATCH(E$1&amp;"人区域",辅助!$A$1:$D$1,0),0),"")</f>
        <v>本地二区</v>
      </c>
      <c r="F4" s="2" t="str">
        <f>IFERROR(VLOOKUP($B4,辅助!$A:$E,MATCH(F$1&amp;"人区域",辅助!$A$1:$E$1,0),0),"")</f>
        <v>本地二区</v>
      </c>
      <c r="G4" t="s">
        <v>110</v>
      </c>
    </row>
    <row r="5" spans="1:7" x14ac:dyDescent="0.3">
      <c r="A5" s="2" t="s">
        <v>4</v>
      </c>
      <c r="B5" s="2" t="s">
        <v>104</v>
      </c>
      <c r="C5" s="2" t="str">
        <f>IFERROR(VLOOKUP($B5,辅助!$A:$D,MATCH(C$1&amp;"人区域",辅助!$A$1:$D$1,0),0),"")</f>
        <v/>
      </c>
      <c r="D5" s="2" t="str">
        <f>IFERROR(VLOOKUP($B5,辅助!$A:$D,MATCH(D$1&amp;"人区域",辅助!$A$1:$D$1,0),0),"")</f>
        <v/>
      </c>
      <c r="E5" s="2" t="str">
        <f>IFERROR(VLOOKUP($B5,辅助!$A:$D,MATCH(E$1&amp;"人区域",辅助!$A$1:$D$1,0),0),"")</f>
        <v/>
      </c>
      <c r="F5" s="2" t="str">
        <f>IFERROR(VLOOKUP($B5,辅助!$A:$E,MATCH(F$1&amp;"人区域",辅助!$A$1:$E$1,0),0),"")</f>
        <v/>
      </c>
    </row>
    <row r="6" spans="1:7" x14ac:dyDescent="0.3">
      <c r="A6" s="2" t="s">
        <v>5</v>
      </c>
      <c r="B6" s="2" t="s">
        <v>37</v>
      </c>
      <c r="C6" s="2" t="str">
        <f>IFERROR(VLOOKUP($B6,辅助!$A:$D,MATCH(C$1&amp;"人区域",辅助!$A$1:$D$1,0),0),"")</f>
        <v>本地一区</v>
      </c>
      <c r="D6" s="2" t="str">
        <f>IFERROR(VLOOKUP($B6,辅助!$A:$D,MATCH(D$1&amp;"人区域",辅助!$A$1:$D$1,0),0),"")</f>
        <v>本地一区</v>
      </c>
      <c r="E6" s="2" t="str">
        <f>IFERROR(VLOOKUP($B6,辅助!$A:$D,MATCH(E$1&amp;"人区域",辅助!$A$1:$D$1,0),0),"")</f>
        <v>本地一区</v>
      </c>
      <c r="F6" s="2" t="str">
        <f>IFERROR(VLOOKUP($B6,辅助!$A:$E,MATCH(F$1&amp;"人区域",辅助!$A$1:$E$1,0),0),"")</f>
        <v>本地一区</v>
      </c>
      <c r="G6" t="s">
        <v>110</v>
      </c>
    </row>
    <row r="7" spans="1:7" x14ac:dyDescent="0.3">
      <c r="A7" s="2" t="s">
        <v>6</v>
      </c>
      <c r="B7" s="2" t="s">
        <v>38</v>
      </c>
      <c r="C7" s="2" t="str">
        <f>IFERROR(VLOOKUP($B7,辅助!$A:$D,MATCH(C$1&amp;"人区域",辅助!$A$1:$D$1,0),0),"")</f>
        <v>本地二区</v>
      </c>
      <c r="D7" s="2" t="str">
        <f>IFERROR(VLOOKUP($B7,辅助!$A:$D,MATCH(D$1&amp;"人区域",辅助!$A$1:$D$1,0),0),"")</f>
        <v>本地三区</v>
      </c>
      <c r="E7" s="2" t="str">
        <f>IFERROR(VLOOKUP($B7,辅助!$A:$D,MATCH(E$1&amp;"人区域",辅助!$A$1:$D$1,0),0),"")</f>
        <v>本地三区</v>
      </c>
      <c r="F7" s="2" t="str">
        <f>IFERROR(VLOOKUP($B7,辅助!$A:$E,MATCH(F$1&amp;"人区域",辅助!$A$1:$E$1,0),0),"")</f>
        <v>本地二区</v>
      </c>
      <c r="G7" t="s">
        <v>110</v>
      </c>
    </row>
    <row r="8" spans="1:7" x14ac:dyDescent="0.3">
      <c r="A8" s="2" t="s">
        <v>7</v>
      </c>
      <c r="B8" s="2" t="s">
        <v>47</v>
      </c>
      <c r="C8" s="2" t="str">
        <f>IFERROR(VLOOKUP($B8,辅助!$A:$D,MATCH(C$1&amp;"人区域",辅助!$A$1:$D$1,0),0),"")</f>
        <v>本地一区</v>
      </c>
      <c r="D8" s="2" t="str">
        <f>IFERROR(VLOOKUP($B8,辅助!$A:$D,MATCH(D$1&amp;"人区域",辅助!$A$1:$D$1,0),0),"")</f>
        <v>本地一区</v>
      </c>
      <c r="E8" s="2" t="str">
        <f>IFERROR(VLOOKUP($B8,辅助!$A:$D,MATCH(E$1&amp;"人区域",辅助!$A$1:$D$1,0),0),"")</f>
        <v>本地四区</v>
      </c>
      <c r="F8" s="2" t="str">
        <f>IFERROR(VLOOKUP($B8,辅助!$A:$E,MATCH(F$1&amp;"人区域",辅助!$A$1:$E$1,0),0),"")</f>
        <v>本地一区</v>
      </c>
      <c r="G8" t="s">
        <v>110</v>
      </c>
    </row>
    <row r="9" spans="1:7" x14ac:dyDescent="0.3">
      <c r="A9" s="2" t="s">
        <v>8</v>
      </c>
      <c r="B9" s="2" t="s">
        <v>45</v>
      </c>
      <c r="C9" s="2" t="str">
        <f>IFERROR(VLOOKUP($B9,辅助!$A:$D,MATCH(C$1&amp;"人区域",辅助!$A$1:$D$1,0),0),"")</f>
        <v>本地一区</v>
      </c>
      <c r="D9" s="2" t="str">
        <f>IFERROR(VLOOKUP($B9,辅助!$A:$D,MATCH(D$1&amp;"人区域",辅助!$A$1:$D$1,0),0),"")</f>
        <v>本地一区</v>
      </c>
      <c r="E9" s="2" t="str">
        <f>IFERROR(VLOOKUP($B9,辅助!$A:$D,MATCH(E$1&amp;"人区域",辅助!$A$1:$D$1,0),0),"")</f>
        <v>本地四区</v>
      </c>
      <c r="F9" s="2" t="str">
        <f>IFERROR(VLOOKUP($B9,辅助!$A:$E,MATCH(F$1&amp;"人区域",辅助!$A$1:$E$1,0),0),"")</f>
        <v>本地一区</v>
      </c>
      <c r="G9" t="s">
        <v>110</v>
      </c>
    </row>
    <row r="10" spans="1:7" x14ac:dyDescent="0.3">
      <c r="A10" s="2" t="s">
        <v>9</v>
      </c>
      <c r="B10" s="2" t="s">
        <v>50</v>
      </c>
      <c r="C10" s="2" t="str">
        <f>IFERROR(VLOOKUP($B10,辅助!$A:$D,MATCH(C$1&amp;"人区域",辅助!$A$1:$D$1,0),0),"")</f>
        <v>本地一区</v>
      </c>
      <c r="D10" s="2" t="str">
        <f>IFERROR(VLOOKUP($B10,辅助!$A:$D,MATCH(D$1&amp;"人区域",辅助!$A$1:$D$1,0),0),"")</f>
        <v>本地一区</v>
      </c>
      <c r="E10" s="2" t="str">
        <f>IFERROR(VLOOKUP($B10,辅助!$A:$D,MATCH(E$1&amp;"人区域",辅助!$A$1:$D$1,0),0),"")</f>
        <v>本地三区</v>
      </c>
      <c r="F10" s="2" t="str">
        <f>IFERROR(VLOOKUP($B10,辅助!$A:$E,MATCH(F$1&amp;"人区域",辅助!$A$1:$E$1,0),0),"")</f>
        <v>本地一区</v>
      </c>
      <c r="G10" t="s">
        <v>110</v>
      </c>
    </row>
    <row r="11" spans="1:7" x14ac:dyDescent="0.3">
      <c r="A11" s="2" t="s">
        <v>10</v>
      </c>
      <c r="B11" s="2" t="s">
        <v>41</v>
      </c>
      <c r="C11" s="2" t="str">
        <f>IFERROR(VLOOKUP($B11,辅助!$A:$D,MATCH(C$1&amp;"人区域",辅助!$A$1:$D$1,0),0),"")</f>
        <v>本地二区</v>
      </c>
      <c r="D11" s="2" t="str">
        <f>IFERROR(VLOOKUP($B11,辅助!$A:$D,MATCH(D$1&amp;"人区域",辅助!$A$1:$D$1,0),0),"")</f>
        <v>本地二区</v>
      </c>
      <c r="E11" s="2" t="str">
        <f>IFERROR(VLOOKUP($B11,辅助!$A:$D,MATCH(E$1&amp;"人区域",辅助!$A$1:$D$1,0),0),"")</f>
        <v>本地二区</v>
      </c>
      <c r="F11" s="2" t="str">
        <f>IFERROR(VLOOKUP($B11,辅助!$A:$E,MATCH(F$1&amp;"人区域",辅助!$A$1:$E$1,0),0),"")</f>
        <v>本地二区</v>
      </c>
      <c r="G11" t="s">
        <v>110</v>
      </c>
    </row>
    <row r="12" spans="1:7" x14ac:dyDescent="0.3">
      <c r="A12" s="2" t="s">
        <v>11</v>
      </c>
      <c r="B12" s="2" t="s">
        <v>39</v>
      </c>
      <c r="C12" s="2" t="str">
        <f>IFERROR(VLOOKUP($B12,辅助!$A:$D,MATCH(C$1&amp;"人区域",辅助!$A$1:$D$1,0),0),"")</f>
        <v>本地二区</v>
      </c>
      <c r="D12" s="2" t="str">
        <f>IFERROR(VLOOKUP($B12,辅助!$A:$D,MATCH(D$1&amp;"人区域",辅助!$A$1:$D$1,0),0),"")</f>
        <v>本地二区</v>
      </c>
      <c r="E12" s="2" t="str">
        <f>IFERROR(VLOOKUP($B12,辅助!$A:$D,MATCH(E$1&amp;"人区域",辅助!$A$1:$D$1,0),0),"")</f>
        <v>本地二区</v>
      </c>
      <c r="F12" s="2" t="str">
        <f>IFERROR(VLOOKUP($B12,辅助!$A:$E,MATCH(F$1&amp;"人区域",辅助!$A$1:$E$1,0),0),"")</f>
        <v>本地二区</v>
      </c>
      <c r="G12" t="s">
        <v>110</v>
      </c>
    </row>
    <row r="13" spans="1:7" x14ac:dyDescent="0.3">
      <c r="A13" s="2" t="s">
        <v>12</v>
      </c>
      <c r="B13" s="2" t="s">
        <v>52</v>
      </c>
      <c r="C13" s="2" t="str">
        <f>IFERROR(VLOOKUP($B13,辅助!$A:$D,MATCH(C$1&amp;"人区域",辅助!$A$1:$D$1,0),0),"")</f>
        <v>本地二区</v>
      </c>
      <c r="D13" s="2" t="str">
        <f>IFERROR(VLOOKUP($B13,辅助!$A:$D,MATCH(D$1&amp;"人区域",辅助!$A$1:$D$1,0),0),"")</f>
        <v>本地一区</v>
      </c>
      <c r="E13" s="2" t="str">
        <f>IFERROR(VLOOKUP($B13,辅助!$A:$D,MATCH(E$1&amp;"人区域",辅助!$A$1:$D$1,0),0),"")</f>
        <v>本地三区</v>
      </c>
      <c r="F13" s="2" t="str">
        <f>IFERROR(VLOOKUP($B13,辅助!$A:$E,MATCH(F$1&amp;"人区域",辅助!$A$1:$E$1,0),0),"")</f>
        <v>本地小三区</v>
      </c>
      <c r="G13" t="s">
        <v>110</v>
      </c>
    </row>
    <row r="14" spans="1:7" x14ac:dyDescent="0.3">
      <c r="A14" s="2" t="s">
        <v>13</v>
      </c>
      <c r="B14" s="2" t="s">
        <v>54</v>
      </c>
      <c r="C14" s="2" t="str">
        <f>IFERROR(VLOOKUP($B14,辅助!$A:$D,MATCH(C$1&amp;"人区域",辅助!$A$1:$D$1,0),0),"")</f>
        <v>本地二区</v>
      </c>
      <c r="D14" s="2" t="str">
        <f>IFERROR(VLOOKUP($B14,辅助!$A:$D,MATCH(D$1&amp;"人区域",辅助!$A$1:$D$1,0),0),"")</f>
        <v>本地二区</v>
      </c>
      <c r="E14" s="2" t="str">
        <f>IFERROR(VLOOKUP($B14,辅助!$A:$D,MATCH(E$1&amp;"人区域",辅助!$A$1:$D$1,0),0),"")</f>
        <v>本地三区</v>
      </c>
      <c r="F14" s="2" t="str">
        <f>IFERROR(VLOOKUP($B14,辅助!$A:$E,MATCH(F$1&amp;"人区域",辅助!$A$1:$E$1,0),0),"")</f>
        <v>本地小三区</v>
      </c>
      <c r="G14" t="s">
        <v>110</v>
      </c>
    </row>
    <row r="15" spans="1:7" x14ac:dyDescent="0.3">
      <c r="A15" s="2" t="s">
        <v>14</v>
      </c>
      <c r="B15" s="2" t="s">
        <v>59</v>
      </c>
      <c r="C15" s="2" t="str">
        <f>IFERROR(VLOOKUP($B15,辅助!$A:$D,MATCH(C$1&amp;"人区域",辅助!$A$1:$D$1,0),0),"")</f>
        <v>本地一区</v>
      </c>
      <c r="D15" s="2" t="str">
        <f>IFERROR(VLOOKUP($B15,辅助!$A:$D,MATCH(D$1&amp;"人区域",辅助!$A$1:$D$1,0),0),"")</f>
        <v>本地三区</v>
      </c>
      <c r="E15" s="2" t="str">
        <f>IFERROR(VLOOKUP($B15,辅助!$A:$D,MATCH(E$1&amp;"人区域",辅助!$A$1:$D$1,0),0),"")</f>
        <v>本地二区</v>
      </c>
      <c r="F15" s="2" t="str">
        <f>IFERROR(VLOOKUP($B15,辅助!$A:$E,MATCH(F$1&amp;"人区域",辅助!$A$1:$E$1,0),0),"")</f>
        <v>本地小三区</v>
      </c>
      <c r="G15" t="s">
        <v>110</v>
      </c>
    </row>
    <row r="16" spans="1:7" x14ac:dyDescent="0.3">
      <c r="A16" s="2" t="s">
        <v>15</v>
      </c>
      <c r="B16" s="2" t="s">
        <v>105</v>
      </c>
      <c r="C16" s="2" t="str">
        <f>IFERROR(VLOOKUP($B16,辅助!$A:$D,MATCH(C$1&amp;"人区域",辅助!$A$1:$D$1,0),0),"")</f>
        <v/>
      </c>
      <c r="D16" s="2" t="str">
        <f>IFERROR(VLOOKUP($B16,辅助!$A:$D,MATCH(D$1&amp;"人区域",辅助!$A$1:$D$1,0),0),"")</f>
        <v/>
      </c>
      <c r="E16" s="2" t="str">
        <f>IFERROR(VLOOKUP($B16,辅助!$A:$D,MATCH(E$1&amp;"人区域",辅助!$A$1:$D$1,0),0),"")</f>
        <v/>
      </c>
      <c r="F16" s="2" t="str">
        <f>IFERROR(VLOOKUP($B16,辅助!$A:$E,MATCH(F$1&amp;"人区域",辅助!$A$1:$E$1,0),0),"")</f>
        <v/>
      </c>
    </row>
    <row r="17" spans="1:7" x14ac:dyDescent="0.3">
      <c r="A17" s="2" t="s">
        <v>16</v>
      </c>
      <c r="B17" s="2" t="s">
        <v>40</v>
      </c>
      <c r="C17" s="2" t="str">
        <f>IFERROR(VLOOKUP($B17,辅助!$A:$D,MATCH(C$1&amp;"人区域",辅助!$A$1:$D$1,0),0),"")</f>
        <v>本地二区</v>
      </c>
      <c r="D17" s="2" t="str">
        <f>IFERROR(VLOOKUP($B17,辅助!$A:$D,MATCH(D$1&amp;"人区域",辅助!$A$1:$D$1,0),0),"")</f>
        <v>本地三区</v>
      </c>
      <c r="E17" s="2" t="str">
        <f>IFERROR(VLOOKUP($B17,辅助!$A:$D,MATCH(E$1&amp;"人区域",辅助!$A$1:$D$1,0),0),"")</f>
        <v>本地三区</v>
      </c>
      <c r="F17" s="2" t="str">
        <f>IFERROR(VLOOKUP($B17,辅助!$A:$E,MATCH(F$1&amp;"人区域",辅助!$A$1:$E$1,0),0),"")</f>
        <v>本地二区</v>
      </c>
      <c r="G17" t="s">
        <v>110</v>
      </c>
    </row>
    <row r="18" spans="1:7" x14ac:dyDescent="0.3">
      <c r="A18" s="2" t="s">
        <v>17</v>
      </c>
      <c r="B18" s="2" t="s">
        <v>42</v>
      </c>
      <c r="C18" s="2" t="str">
        <f>IFERROR(VLOOKUP($B18,辅助!$A:$D,MATCH(C$1&amp;"人区域",辅助!$A$1:$D$1,0),0),"")</f>
        <v>本地一区</v>
      </c>
      <c r="D18" s="2" t="str">
        <f>IFERROR(VLOOKUP($B18,辅助!$A:$D,MATCH(D$1&amp;"人区域",辅助!$A$1:$D$1,0),0),"")</f>
        <v>本地三区</v>
      </c>
      <c r="E18" s="2" t="str">
        <f>IFERROR(VLOOKUP($B18,辅助!$A:$D,MATCH(E$1&amp;"人区域",辅助!$A$1:$D$1,0),0),"")</f>
        <v>本地三区</v>
      </c>
      <c r="F18" s="2" t="str">
        <f>IFERROR(VLOOKUP($B18,辅助!$A:$E,MATCH(F$1&amp;"人区域",辅助!$A$1:$E$1,0),0),"")</f>
        <v>本地一区</v>
      </c>
      <c r="G18" t="s">
        <v>110</v>
      </c>
    </row>
    <row r="19" spans="1:7" x14ac:dyDescent="0.3">
      <c r="A19" s="2" t="s">
        <v>18</v>
      </c>
      <c r="B19" s="2" t="s">
        <v>56</v>
      </c>
      <c r="C19" s="2" t="str">
        <f>IFERROR(VLOOKUP($B19,辅助!$A:$D,MATCH(C$1&amp;"人区域",辅助!$A$1:$D$1,0),0),"")</f>
        <v>本地二区</v>
      </c>
      <c r="D19" s="2" t="str">
        <f>IFERROR(VLOOKUP($B19,辅助!$A:$D,MATCH(D$1&amp;"人区域",辅助!$A$1:$D$1,0),0),"")</f>
        <v>本地二区</v>
      </c>
      <c r="E19" s="2" t="str">
        <f>IFERROR(VLOOKUP($B19,辅助!$A:$D,MATCH(E$1&amp;"人区域",辅助!$A$1:$D$1,0),0),"")</f>
        <v>本地二区</v>
      </c>
      <c r="F19" s="2" t="str">
        <f>IFERROR(VLOOKUP($B19,辅助!$A:$E,MATCH(F$1&amp;"人区域",辅助!$A$1:$E$1,0),0),"")</f>
        <v>本地二区</v>
      </c>
      <c r="G19" t="s">
        <v>110</v>
      </c>
    </row>
    <row r="20" spans="1:7" x14ac:dyDescent="0.3">
      <c r="A20" s="2" t="s">
        <v>19</v>
      </c>
      <c r="B20" s="2" t="s">
        <v>101</v>
      </c>
      <c r="C20" s="2" t="str">
        <f>IFERROR(VLOOKUP($B20,辅助!$A:$D,MATCH(C$1&amp;"人区域",辅助!$A$1:$D$1,0),0),"")</f>
        <v>本地一区</v>
      </c>
      <c r="D20" s="2" t="str">
        <f>IFERROR(VLOOKUP($B20,辅助!$A:$D,MATCH(D$1&amp;"人区域",辅助!$A$1:$D$1,0),0),"")</f>
        <v>本地三区</v>
      </c>
      <c r="E20" s="2" t="str">
        <f>IFERROR(VLOOKUP($B20,辅助!$A:$D,MATCH(E$1&amp;"人区域",辅助!$A$1:$D$1,0),0),"")</f>
        <v>本地一区</v>
      </c>
      <c r="F20" s="2" t="str">
        <f>IFERROR(VLOOKUP($B20,辅助!$A:$E,MATCH(F$1&amp;"人区域",辅助!$A$1:$E$1,0),0),"")</f>
        <v>本地一区</v>
      </c>
      <c r="G20" t="s">
        <v>110</v>
      </c>
    </row>
    <row r="21" spans="1:7" x14ac:dyDescent="0.3">
      <c r="A21" s="2" t="s">
        <v>20</v>
      </c>
      <c r="B21" s="2" t="s">
        <v>43</v>
      </c>
      <c r="C21" s="2" t="str">
        <f>IFERROR(VLOOKUP($B21,辅助!$A:$D,MATCH(C$1&amp;"人区域",辅助!$A$1:$D$1,0),0),"")</f>
        <v>本地一区</v>
      </c>
      <c r="D21" s="2" t="str">
        <f>IFERROR(VLOOKUP($B21,辅助!$A:$D,MATCH(D$1&amp;"人区域",辅助!$A$1:$D$1,0),0),"")</f>
        <v>本地一区</v>
      </c>
      <c r="E21" s="2" t="str">
        <f>IFERROR(VLOOKUP($B21,辅助!$A:$D,MATCH(E$1&amp;"人区域",辅助!$A$1:$D$1,0),0),"")</f>
        <v>本地四区</v>
      </c>
      <c r="F21" s="2" t="str">
        <f>IFERROR(VLOOKUP($B21,辅助!$A:$E,MATCH(F$1&amp;"人区域",辅助!$A$1:$E$1,0),0),"")</f>
        <v>本地一区</v>
      </c>
      <c r="G21" t="s">
        <v>110</v>
      </c>
    </row>
    <row r="22" spans="1:7" x14ac:dyDescent="0.3">
      <c r="A22" s="2" t="s">
        <v>21</v>
      </c>
      <c r="B22" s="2" t="s">
        <v>44</v>
      </c>
      <c r="C22" s="2" t="str">
        <f>IFERROR(VLOOKUP($B22,辅助!$A:$D,MATCH(C$1&amp;"人区域",辅助!$A$1:$D$1,0),0),"")</f>
        <v>本地一区</v>
      </c>
      <c r="D22" s="2" t="str">
        <f>IFERROR(VLOOKUP($B22,辅助!$A:$D,MATCH(D$1&amp;"人区域",辅助!$A$1:$D$1,0),0),"")</f>
        <v>本地三区</v>
      </c>
      <c r="E22" s="2" t="str">
        <f>IFERROR(VLOOKUP($B22,辅助!$A:$D,MATCH(E$1&amp;"人区域",辅助!$A$1:$D$1,0),0),"")</f>
        <v>本地一区</v>
      </c>
      <c r="F22" s="2" t="str">
        <f>IFERROR(VLOOKUP($B22,辅助!$A:$E,MATCH(F$1&amp;"人区域",辅助!$A$1:$E$1,0),0),"")</f>
        <v>本地一区</v>
      </c>
      <c r="G22" t="s">
        <v>110</v>
      </c>
    </row>
    <row r="23" spans="1:7" x14ac:dyDescent="0.3">
      <c r="A23" s="2" t="s">
        <v>22</v>
      </c>
      <c r="B23" s="2" t="s">
        <v>55</v>
      </c>
      <c r="C23" s="2" t="str">
        <f>IFERROR(VLOOKUP($B23,辅助!$A:$D,MATCH(C$1&amp;"人区域",辅助!$A$1:$D$1,0),0),"")</f>
        <v>本地二区</v>
      </c>
      <c r="D23" s="2" t="str">
        <f>IFERROR(VLOOKUP($B23,辅助!$A:$D,MATCH(D$1&amp;"人区域",辅助!$A$1:$D$1,0),0),"")</f>
        <v>本地二区</v>
      </c>
      <c r="E23" s="2" t="str">
        <f>IFERROR(VLOOKUP($B23,辅助!$A:$D,MATCH(E$1&amp;"人区域",辅助!$A$1:$D$1,0),0),"")</f>
        <v>本地二区</v>
      </c>
      <c r="F23" s="2" t="str">
        <f>IFERROR(VLOOKUP($B23,辅助!$A:$E,MATCH(F$1&amp;"人区域",辅助!$A$1:$E$1,0),0),"")</f>
        <v>本地二区</v>
      </c>
      <c r="G23" t="s">
        <v>110</v>
      </c>
    </row>
    <row r="24" spans="1:7" x14ac:dyDescent="0.3">
      <c r="A24" s="2" t="s">
        <v>23</v>
      </c>
      <c r="B24" s="2" t="s">
        <v>51</v>
      </c>
      <c r="C24" s="2" t="str">
        <f>IFERROR(VLOOKUP($B24,辅助!$A:$D,MATCH(C$1&amp;"人区域",辅助!$A$1:$D$1,0),0),"")</f>
        <v>本地二区</v>
      </c>
      <c r="D24" s="2" t="str">
        <f>IFERROR(VLOOKUP($B24,辅助!$A:$D,MATCH(D$1&amp;"人区域",辅助!$A$1:$D$1,0),0),"")</f>
        <v>本地三区</v>
      </c>
      <c r="E24" s="2" t="str">
        <f>IFERROR(VLOOKUP($B24,辅助!$A:$D,MATCH(E$1&amp;"人区域",辅助!$A$1:$D$1,0),0),"")</f>
        <v>本地四区</v>
      </c>
      <c r="F24" s="2" t="str">
        <f>IFERROR(VLOOKUP($B24,辅助!$A:$E,MATCH(F$1&amp;"人区域",辅助!$A$1:$E$1,0),0),"")</f>
        <v>本地二区</v>
      </c>
      <c r="G24" t="s">
        <v>110</v>
      </c>
    </row>
    <row r="25" spans="1:7" x14ac:dyDescent="0.3">
      <c r="A25" s="2" t="s">
        <v>24</v>
      </c>
      <c r="B25" s="2" t="s">
        <v>49</v>
      </c>
      <c r="C25" s="2" t="str">
        <f>IFERROR(VLOOKUP($B25,辅助!$A:$D,MATCH(C$1&amp;"人区域",辅助!$A$1:$D$1,0),0),"")</f>
        <v>本地二区</v>
      </c>
      <c r="D25" s="2" t="str">
        <f>IFERROR(VLOOKUP($B25,辅助!$A:$D,MATCH(D$1&amp;"人区域",辅助!$A$1:$D$1,0),0),"")</f>
        <v>本地二区</v>
      </c>
      <c r="E25" s="2" t="str">
        <f>IFERROR(VLOOKUP($B25,辅助!$A:$D,MATCH(E$1&amp;"人区域",辅助!$A$1:$D$1,0),0),"")</f>
        <v>本地四区</v>
      </c>
      <c r="F25" s="2" t="str">
        <f>IFERROR(VLOOKUP($B25,辅助!$A:$E,MATCH(F$1&amp;"人区域",辅助!$A$1:$E$1,0),0),"")</f>
        <v>本地二区</v>
      </c>
      <c r="G25" t="s">
        <v>110</v>
      </c>
    </row>
    <row r="26" spans="1:7" x14ac:dyDescent="0.3">
      <c r="A26" s="2" t="s">
        <v>25</v>
      </c>
      <c r="B26" s="2" t="s">
        <v>46</v>
      </c>
      <c r="C26" s="2" t="str">
        <f>IFERROR(VLOOKUP($B26,辅助!$A:$D,MATCH(C$1&amp;"人区域",辅助!$A$1:$D$1,0),0),"")</f>
        <v>本地二区</v>
      </c>
      <c r="D26" s="2" t="str">
        <f>IFERROR(VLOOKUP($B26,辅助!$A:$D,MATCH(D$1&amp;"人区域",辅助!$A$1:$D$1,0),0),"")</f>
        <v>本地三区</v>
      </c>
      <c r="E26" s="2" t="str">
        <f>IFERROR(VLOOKUP($B26,辅助!$A:$D,MATCH(E$1&amp;"人区域",辅助!$A$1:$D$1,0),0),"")</f>
        <v>本地一区</v>
      </c>
      <c r="F26" s="2" t="str">
        <f>IFERROR(VLOOKUP($B26,辅助!$A:$E,MATCH(F$1&amp;"人区域",辅助!$A$1:$E$1,0),0),"")</f>
        <v>本地二区</v>
      </c>
      <c r="G26" t="s">
        <v>110</v>
      </c>
    </row>
    <row r="27" spans="1:7" x14ac:dyDescent="0.3">
      <c r="A27" s="2" t="s">
        <v>26</v>
      </c>
      <c r="B27" s="2" t="s">
        <v>53</v>
      </c>
      <c r="C27" s="2" t="str">
        <f>IFERROR(VLOOKUP($B27,辅助!$A:$D,MATCH(C$1&amp;"人区域",辅助!$A$1:$D$1,0),0),"")</f>
        <v>本地一区</v>
      </c>
      <c r="D27" s="2" t="str">
        <f>IFERROR(VLOOKUP($B27,辅助!$A:$D,MATCH(D$1&amp;"人区域",辅助!$A$1:$D$1,0),0),"")</f>
        <v>本地三区</v>
      </c>
      <c r="E27" s="2" t="str">
        <f>IFERROR(VLOOKUP($B27,辅助!$A:$D,MATCH(E$1&amp;"人区域",辅助!$A$1:$D$1,0),0),"")</f>
        <v>本地四区</v>
      </c>
      <c r="F27" s="2" t="str">
        <f>IFERROR(VLOOKUP($B27,辅助!$A:$E,MATCH(F$1&amp;"人区域",辅助!$A$1:$E$1,0),0),"")</f>
        <v>本地一区</v>
      </c>
      <c r="G27" t="s">
        <v>110</v>
      </c>
    </row>
    <row r="28" spans="1:7" x14ac:dyDescent="0.3">
      <c r="A28" s="2" t="s">
        <v>27</v>
      </c>
      <c r="B28" s="2" t="s">
        <v>61</v>
      </c>
      <c r="C28" s="2" t="str">
        <f>IFERROR(VLOOKUP($B28,辅助!$A:$D,MATCH(C$1&amp;"人区域",辅助!$A$1:$D$1,0),0),"")</f>
        <v>本地一区</v>
      </c>
      <c r="D28" s="2" t="str">
        <f>IFERROR(VLOOKUP($B28,辅助!$A:$D,MATCH(D$1&amp;"人区域",辅助!$A$1:$D$1,0),0),"")</f>
        <v>本地三区</v>
      </c>
      <c r="E28" s="2" t="str">
        <f>IFERROR(VLOOKUP($B28,辅助!$A:$D,MATCH(E$1&amp;"人区域",辅助!$A$1:$D$1,0),0),"")</f>
        <v>本地四区</v>
      </c>
      <c r="F28" s="2" t="str">
        <f>IFERROR(VLOOKUP($B28,辅助!$A:$E,MATCH(F$1&amp;"人区域",辅助!$A$1:$E$1,0),0),"")</f>
        <v>本地一区</v>
      </c>
      <c r="G28" t="s">
        <v>110</v>
      </c>
    </row>
    <row r="29" spans="1:7" x14ac:dyDescent="0.3">
      <c r="A29" s="2" t="s">
        <v>28</v>
      </c>
      <c r="B29" s="2" t="s">
        <v>62</v>
      </c>
      <c r="C29" s="2" t="str">
        <f>IFERROR(VLOOKUP($B29,辅助!$A:$D,MATCH(C$1&amp;"人区域",辅助!$A$1:$D$1,0),0),"")</f>
        <v>本地一区</v>
      </c>
      <c r="D29" s="2" t="str">
        <f>IFERROR(VLOOKUP($B29,辅助!$A:$D,MATCH(D$1&amp;"人区域",辅助!$A$1:$D$1,0),0),"")</f>
        <v>本地二区</v>
      </c>
      <c r="E29" s="2" t="str">
        <f>IFERROR(VLOOKUP($B29,辅助!$A:$D,MATCH(E$1&amp;"人区域",辅助!$A$1:$D$1,0),0),"")</f>
        <v>本地二区</v>
      </c>
      <c r="F29" s="2" t="str">
        <f>IFERROR(VLOOKUP($B29,辅助!$A:$E,MATCH(F$1&amp;"人区域",辅助!$A$1:$E$1,0),0),"")</f>
        <v>本地小三区</v>
      </c>
      <c r="G29" t="s">
        <v>110</v>
      </c>
    </row>
    <row r="30" spans="1:7" x14ac:dyDescent="0.3">
      <c r="A30" s="2" t="s">
        <v>29</v>
      </c>
      <c r="B30" s="2" t="s">
        <v>57</v>
      </c>
      <c r="C30" s="2" t="str">
        <f>IFERROR(VLOOKUP($B30,辅助!$A:$D,MATCH(C$1&amp;"人区域",辅助!$A$1:$D$1,0),0),"")</f>
        <v>本地一区</v>
      </c>
      <c r="D30" s="2" t="str">
        <f>IFERROR(VLOOKUP($B30,辅助!$A:$D,MATCH(D$1&amp;"人区域",辅助!$A$1:$D$1,0),0),"")</f>
        <v>本地二区</v>
      </c>
      <c r="E30" s="2" t="str">
        <f>IFERROR(VLOOKUP($B30,辅助!$A:$D,MATCH(E$1&amp;"人区域",辅助!$A$1:$D$1,0),0),"")</f>
        <v>本地三区</v>
      </c>
      <c r="F30" s="2" t="str">
        <f>IFERROR(VLOOKUP($B30,辅助!$A:$E,MATCH(F$1&amp;"人区域",辅助!$A$1:$E$1,0),0),"")</f>
        <v>本地小三区</v>
      </c>
      <c r="G30" t="s">
        <v>110</v>
      </c>
    </row>
    <row r="31" spans="1:7" x14ac:dyDescent="0.3">
      <c r="A31" s="2" t="s">
        <v>30</v>
      </c>
      <c r="B31" s="2" t="s">
        <v>58</v>
      </c>
      <c r="C31" s="2" t="str">
        <f>IFERROR(VLOOKUP($B31,辅助!$A:$D,MATCH(C$1&amp;"人区域",辅助!$A$1:$D$1,0),0),"")</f>
        <v>本地二区</v>
      </c>
      <c r="D31" s="2" t="str">
        <f>IFERROR(VLOOKUP($B31,辅助!$A:$D,MATCH(D$1&amp;"人区域",辅助!$A$1:$D$1,0),0),"")</f>
        <v>本地一区</v>
      </c>
      <c r="E31" s="2" t="str">
        <f>IFERROR(VLOOKUP($B31,辅助!$A:$D,MATCH(E$1&amp;"人区域",辅助!$A$1:$D$1,0),0),"")</f>
        <v>本地一区</v>
      </c>
      <c r="F31" s="2" t="str">
        <f>IFERROR(VLOOKUP($B31,辅助!$A:$E,MATCH(F$1&amp;"人区域",辅助!$A$1:$E$1,0),0),"")</f>
        <v>本地小三区</v>
      </c>
      <c r="G31" t="s">
        <v>110</v>
      </c>
    </row>
    <row r="32" spans="1:7" x14ac:dyDescent="0.3">
      <c r="A32" s="2" t="s">
        <v>31</v>
      </c>
      <c r="B32" s="2" t="s">
        <v>60</v>
      </c>
      <c r="C32" s="2" t="str">
        <f>IFERROR(VLOOKUP($B32,辅助!$A:$D,MATCH(C$1&amp;"人区域",辅助!$A$1:$D$1,0),0),"")</f>
        <v>本地二区</v>
      </c>
      <c r="D32" s="2" t="str">
        <f>IFERROR(VLOOKUP($B32,辅助!$A:$D,MATCH(D$1&amp;"人区域",辅助!$A$1:$D$1,0),0),"")</f>
        <v>本地一区</v>
      </c>
      <c r="E32" s="2" t="str">
        <f>IFERROR(VLOOKUP($B32,辅助!$A:$D,MATCH(E$1&amp;"人区域",辅助!$A$1:$D$1,0),0),"")</f>
        <v>本地一区</v>
      </c>
      <c r="F32" s="2" t="str">
        <f>IFERROR(VLOOKUP($B32,辅助!$A:$E,MATCH(F$1&amp;"人区域",辅助!$A$1:$E$1,0),0),"")</f>
        <v>本地小三区</v>
      </c>
      <c r="G32" t="s">
        <v>110</v>
      </c>
    </row>
    <row r="33" spans="1:6" x14ac:dyDescent="0.3">
      <c r="A33" s="2" t="s">
        <v>32</v>
      </c>
      <c r="B33" s="2" t="s">
        <v>106</v>
      </c>
      <c r="C33" s="2" t="str">
        <f>IFERROR(VLOOKUP($B33,辅助!$A:$D,MATCH(C$1&amp;"人区域",辅助!$A$1:$D$1,0),0),"")</f>
        <v/>
      </c>
      <c r="D33" s="2" t="str">
        <f>IFERROR(VLOOKUP($B33,辅助!$A:$D,MATCH(D$1&amp;"人区域",辅助!$A$1:$D$1,0),0),"")</f>
        <v/>
      </c>
      <c r="E33" s="2" t="str">
        <f>IFERROR(VLOOKUP($B33,辅助!$A:$D,MATCH(E$1&amp;"人区域",辅助!$A$1:$D$1,0),0),"")</f>
        <v/>
      </c>
      <c r="F33" s="2" t="str">
        <f>IFERROR(VLOOKUP($B33,辅助!$A:$E,MATCH(F$1&amp;"人区域",辅助!$A$1:$E$1,0),0),"")</f>
        <v/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F10" sqref="F10"/>
    </sheetView>
  </sheetViews>
  <sheetFormatPr defaultRowHeight="14" x14ac:dyDescent="0.3"/>
  <cols>
    <col min="5" max="5" width="11" bestFit="1" customWidth="1"/>
  </cols>
  <sheetData>
    <row r="1" spans="1:5" x14ac:dyDescent="0.3">
      <c r="A1" t="s">
        <v>97</v>
      </c>
      <c r="B1" t="s">
        <v>98</v>
      </c>
      <c r="C1" t="s">
        <v>99</v>
      </c>
      <c r="D1" t="s">
        <v>107</v>
      </c>
      <c r="E1" t="s">
        <v>109</v>
      </c>
    </row>
    <row r="2" spans="1:5" x14ac:dyDescent="0.3">
      <c r="A2" t="s">
        <v>89</v>
      </c>
      <c r="B2" t="s">
        <v>33</v>
      </c>
      <c r="C2" t="s">
        <v>33</v>
      </c>
      <c r="D2" t="s">
        <v>33</v>
      </c>
      <c r="E2" t="s">
        <v>33</v>
      </c>
    </row>
    <row r="3" spans="1:5" x14ac:dyDescent="0.3">
      <c r="A3" t="s">
        <v>37</v>
      </c>
      <c r="B3" t="s">
        <v>33</v>
      </c>
      <c r="C3" t="s">
        <v>33</v>
      </c>
      <c r="D3" t="s">
        <v>33</v>
      </c>
      <c r="E3" t="s">
        <v>33</v>
      </c>
    </row>
    <row r="4" spans="1:5" x14ac:dyDescent="0.3">
      <c r="A4" t="s">
        <v>43</v>
      </c>
      <c r="B4" t="s">
        <v>33</v>
      </c>
      <c r="C4" t="s">
        <v>100</v>
      </c>
      <c r="D4" t="s">
        <v>33</v>
      </c>
      <c r="E4" t="s">
        <v>33</v>
      </c>
    </row>
    <row r="5" spans="1:5" x14ac:dyDescent="0.3">
      <c r="A5" t="s">
        <v>45</v>
      </c>
      <c r="B5" t="s">
        <v>33</v>
      </c>
      <c r="C5" t="s">
        <v>100</v>
      </c>
      <c r="D5" t="s">
        <v>33</v>
      </c>
      <c r="E5" t="s">
        <v>33</v>
      </c>
    </row>
    <row r="6" spans="1:5" x14ac:dyDescent="0.3">
      <c r="A6" t="s">
        <v>47</v>
      </c>
      <c r="B6" t="s">
        <v>33</v>
      </c>
      <c r="C6" t="s">
        <v>100</v>
      </c>
      <c r="D6" t="s">
        <v>33</v>
      </c>
      <c r="E6" t="s">
        <v>33</v>
      </c>
    </row>
    <row r="7" spans="1:5" x14ac:dyDescent="0.3">
      <c r="A7" t="s">
        <v>50</v>
      </c>
      <c r="B7" t="s">
        <v>33</v>
      </c>
      <c r="C7" t="s">
        <v>35</v>
      </c>
      <c r="D7" t="s">
        <v>33</v>
      </c>
      <c r="E7" t="s">
        <v>33</v>
      </c>
    </row>
    <row r="8" spans="1:5" x14ac:dyDescent="0.3">
      <c r="A8" t="s">
        <v>52</v>
      </c>
      <c r="B8" t="s">
        <v>33</v>
      </c>
      <c r="C8" t="s">
        <v>35</v>
      </c>
      <c r="D8" t="s">
        <v>34</v>
      </c>
      <c r="E8" t="s">
        <v>108</v>
      </c>
    </row>
    <row r="9" spans="1:5" x14ac:dyDescent="0.3">
      <c r="A9" t="s">
        <v>58</v>
      </c>
      <c r="B9" t="s">
        <v>33</v>
      </c>
      <c r="C9" t="s">
        <v>33</v>
      </c>
      <c r="D9" t="s">
        <v>34</v>
      </c>
      <c r="E9" t="s">
        <v>108</v>
      </c>
    </row>
    <row r="10" spans="1:5" x14ac:dyDescent="0.3">
      <c r="A10" t="s">
        <v>60</v>
      </c>
      <c r="B10" t="s">
        <v>33</v>
      </c>
      <c r="C10" t="s">
        <v>33</v>
      </c>
      <c r="D10" t="s">
        <v>34</v>
      </c>
      <c r="E10" t="s">
        <v>108</v>
      </c>
    </row>
    <row r="11" spans="1:5" x14ac:dyDescent="0.3">
      <c r="A11" t="s">
        <v>91</v>
      </c>
      <c r="B11" t="s">
        <v>34</v>
      </c>
      <c r="C11" t="s">
        <v>34</v>
      </c>
      <c r="D11" t="s">
        <v>34</v>
      </c>
      <c r="E11" t="s">
        <v>34</v>
      </c>
    </row>
    <row r="12" spans="1:5" x14ac:dyDescent="0.3">
      <c r="A12" t="s">
        <v>92</v>
      </c>
      <c r="B12" t="s">
        <v>34</v>
      </c>
      <c r="C12" t="s">
        <v>34</v>
      </c>
      <c r="D12" t="s">
        <v>34</v>
      </c>
      <c r="E12" t="s">
        <v>34</v>
      </c>
    </row>
    <row r="13" spans="1:5" x14ac:dyDescent="0.3">
      <c r="A13" t="s">
        <v>56</v>
      </c>
      <c r="B13" t="s">
        <v>34</v>
      </c>
      <c r="C13" t="s">
        <v>34</v>
      </c>
      <c r="D13" t="s">
        <v>34</v>
      </c>
      <c r="E13" t="s">
        <v>34</v>
      </c>
    </row>
    <row r="14" spans="1:5" x14ac:dyDescent="0.3">
      <c r="A14" t="s">
        <v>55</v>
      </c>
      <c r="B14" t="s">
        <v>34</v>
      </c>
      <c r="C14" t="s">
        <v>34</v>
      </c>
      <c r="D14" t="s">
        <v>34</v>
      </c>
      <c r="E14" t="s">
        <v>34</v>
      </c>
    </row>
    <row r="15" spans="1:5" x14ac:dyDescent="0.3">
      <c r="A15" t="s">
        <v>39</v>
      </c>
      <c r="B15" t="s">
        <v>34</v>
      </c>
      <c r="C15" t="s">
        <v>34</v>
      </c>
      <c r="D15" t="s">
        <v>34</v>
      </c>
      <c r="E15" t="s">
        <v>34</v>
      </c>
    </row>
    <row r="16" spans="1:5" x14ac:dyDescent="0.3">
      <c r="A16" t="s">
        <v>41</v>
      </c>
      <c r="B16" t="s">
        <v>34</v>
      </c>
      <c r="C16" t="s">
        <v>34</v>
      </c>
      <c r="D16" t="s">
        <v>34</v>
      </c>
      <c r="E16" t="s">
        <v>34</v>
      </c>
    </row>
    <row r="17" spans="1:5" x14ac:dyDescent="0.3">
      <c r="A17" t="s">
        <v>49</v>
      </c>
      <c r="B17" t="s">
        <v>34</v>
      </c>
      <c r="C17" t="s">
        <v>100</v>
      </c>
      <c r="D17" t="s">
        <v>34</v>
      </c>
      <c r="E17" t="s">
        <v>34</v>
      </c>
    </row>
    <row r="18" spans="1:5" x14ac:dyDescent="0.3">
      <c r="A18" t="s">
        <v>54</v>
      </c>
      <c r="B18" t="s">
        <v>34</v>
      </c>
      <c r="C18" t="s">
        <v>35</v>
      </c>
      <c r="D18" t="s">
        <v>34</v>
      </c>
      <c r="E18" t="s">
        <v>108</v>
      </c>
    </row>
    <row r="19" spans="1:5" x14ac:dyDescent="0.3">
      <c r="A19" t="s">
        <v>62</v>
      </c>
      <c r="B19" t="s">
        <v>34</v>
      </c>
      <c r="C19" t="s">
        <v>34</v>
      </c>
      <c r="D19" t="s">
        <v>33</v>
      </c>
      <c r="E19" t="s">
        <v>108</v>
      </c>
    </row>
    <row r="20" spans="1:5" x14ac:dyDescent="0.3">
      <c r="A20" t="s">
        <v>57</v>
      </c>
      <c r="B20" t="s">
        <v>34</v>
      </c>
      <c r="C20" t="s">
        <v>35</v>
      </c>
      <c r="D20" t="s">
        <v>33</v>
      </c>
      <c r="E20" t="s">
        <v>108</v>
      </c>
    </row>
    <row r="21" spans="1:5" x14ac:dyDescent="0.3">
      <c r="A21" t="s">
        <v>38</v>
      </c>
      <c r="B21" t="s">
        <v>35</v>
      </c>
      <c r="C21" t="s">
        <v>35</v>
      </c>
      <c r="D21" t="s">
        <v>34</v>
      </c>
      <c r="E21" t="s">
        <v>34</v>
      </c>
    </row>
    <row r="22" spans="1:5" x14ac:dyDescent="0.3">
      <c r="A22" t="s">
        <v>40</v>
      </c>
      <c r="B22" t="s">
        <v>35</v>
      </c>
      <c r="C22" t="s">
        <v>35</v>
      </c>
      <c r="D22" t="s">
        <v>34</v>
      </c>
      <c r="E22" t="s">
        <v>34</v>
      </c>
    </row>
    <row r="23" spans="1:5" x14ac:dyDescent="0.3">
      <c r="A23" t="s">
        <v>42</v>
      </c>
      <c r="B23" t="s">
        <v>35</v>
      </c>
      <c r="C23" t="s">
        <v>35</v>
      </c>
      <c r="D23" t="s">
        <v>33</v>
      </c>
      <c r="E23" t="s">
        <v>33</v>
      </c>
    </row>
    <row r="24" spans="1:5" x14ac:dyDescent="0.3">
      <c r="A24" t="s">
        <v>44</v>
      </c>
      <c r="B24" t="s">
        <v>35</v>
      </c>
      <c r="C24" t="s">
        <v>33</v>
      </c>
      <c r="D24" t="s">
        <v>33</v>
      </c>
      <c r="E24" t="s">
        <v>33</v>
      </c>
    </row>
    <row r="25" spans="1:5" x14ac:dyDescent="0.3">
      <c r="A25" t="s">
        <v>46</v>
      </c>
      <c r="B25" t="s">
        <v>35</v>
      </c>
      <c r="C25" t="s">
        <v>33</v>
      </c>
      <c r="D25" t="s">
        <v>34</v>
      </c>
      <c r="E25" t="s">
        <v>34</v>
      </c>
    </row>
    <row r="26" spans="1:5" x14ac:dyDescent="0.3">
      <c r="A26" s="8" t="s">
        <v>102</v>
      </c>
      <c r="B26" t="s">
        <v>35</v>
      </c>
      <c r="C26" t="s">
        <v>33</v>
      </c>
      <c r="D26" t="s">
        <v>33</v>
      </c>
      <c r="E26" t="s">
        <v>33</v>
      </c>
    </row>
    <row r="27" spans="1:5" x14ac:dyDescent="0.3">
      <c r="A27" t="s">
        <v>53</v>
      </c>
      <c r="B27" t="s">
        <v>35</v>
      </c>
      <c r="C27" t="s">
        <v>100</v>
      </c>
      <c r="D27" t="s">
        <v>33</v>
      </c>
      <c r="E27" t="s">
        <v>33</v>
      </c>
    </row>
    <row r="28" spans="1:5" x14ac:dyDescent="0.3">
      <c r="A28" t="s">
        <v>51</v>
      </c>
      <c r="B28" t="s">
        <v>35</v>
      </c>
      <c r="C28" t="s">
        <v>100</v>
      </c>
      <c r="D28" t="s">
        <v>34</v>
      </c>
      <c r="E28" t="s">
        <v>34</v>
      </c>
    </row>
    <row r="29" spans="1:5" x14ac:dyDescent="0.3">
      <c r="A29" t="s">
        <v>59</v>
      </c>
      <c r="B29" t="s">
        <v>35</v>
      </c>
      <c r="C29" t="s">
        <v>34</v>
      </c>
      <c r="D29" t="s">
        <v>33</v>
      </c>
      <c r="E29" t="s">
        <v>108</v>
      </c>
    </row>
    <row r="30" spans="1:5" x14ac:dyDescent="0.3">
      <c r="A30" t="s">
        <v>61</v>
      </c>
      <c r="B30" t="s">
        <v>35</v>
      </c>
      <c r="C30" t="s">
        <v>100</v>
      </c>
      <c r="D30" t="s">
        <v>33</v>
      </c>
      <c r="E30" t="s">
        <v>33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selection activeCell="U6" sqref="U6:V28"/>
    </sheetView>
  </sheetViews>
  <sheetFormatPr defaultRowHeight="14" x14ac:dyDescent="0.3"/>
  <sheetData>
    <row r="1" spans="1:22" x14ac:dyDescent="0.3">
      <c r="A1" t="s">
        <v>64</v>
      </c>
      <c r="C1" t="s">
        <v>65</v>
      </c>
      <c r="E1" s="9" t="s">
        <v>88</v>
      </c>
      <c r="F1" s="10"/>
      <c r="G1" s="3"/>
      <c r="H1" s="9" t="s">
        <v>33</v>
      </c>
      <c r="I1" s="10"/>
      <c r="J1" s="4"/>
      <c r="K1" s="9" t="s">
        <v>34</v>
      </c>
      <c r="L1" s="10"/>
      <c r="M1" s="4"/>
      <c r="N1" s="9" t="s">
        <v>35</v>
      </c>
      <c r="O1" s="10"/>
      <c r="P1" s="4"/>
      <c r="Q1" s="4"/>
      <c r="R1" s="4"/>
    </row>
    <row r="2" spans="1:22" x14ac:dyDescent="0.3">
      <c r="A2" t="s">
        <v>37</v>
      </c>
      <c r="B2" t="s">
        <v>66</v>
      </c>
      <c r="C2" t="s">
        <v>36</v>
      </c>
      <c r="E2" s="3" t="s">
        <v>89</v>
      </c>
      <c r="F2" s="3">
        <v>120000</v>
      </c>
      <c r="G2" s="3">
        <v>12000</v>
      </c>
      <c r="H2" s="3" t="s">
        <v>38</v>
      </c>
      <c r="I2" s="3">
        <v>43000</v>
      </c>
      <c r="J2" s="3"/>
      <c r="K2" s="3" t="s">
        <v>43</v>
      </c>
      <c r="L2" s="3">
        <v>22000</v>
      </c>
      <c r="M2" s="3"/>
      <c r="N2" s="3" t="s">
        <v>37</v>
      </c>
      <c r="O2" s="3">
        <v>60000</v>
      </c>
      <c r="P2" s="4" t="s">
        <v>90</v>
      </c>
      <c r="Q2" s="4"/>
      <c r="R2" s="4"/>
      <c r="S2" s="3" t="s">
        <v>37</v>
      </c>
      <c r="T2" t="s">
        <v>36</v>
      </c>
      <c r="U2" t="str">
        <f>VLOOKUP(S2,A:B,2,0)</f>
        <v>上海市</v>
      </c>
      <c r="V2" t="str">
        <f>T2</f>
        <v>本地一区</v>
      </c>
    </row>
    <row r="3" spans="1:22" x14ac:dyDescent="0.3">
      <c r="A3" t="s">
        <v>39</v>
      </c>
      <c r="B3" t="s">
        <v>67</v>
      </c>
      <c r="C3" t="s">
        <v>36</v>
      </c>
      <c r="E3" s="3"/>
      <c r="F3" s="3"/>
      <c r="G3" s="3"/>
      <c r="H3" s="3" t="s">
        <v>40</v>
      </c>
      <c r="I3" s="3">
        <v>28000</v>
      </c>
      <c r="J3" s="3"/>
      <c r="K3" s="3" t="s">
        <v>45</v>
      </c>
      <c r="L3" s="3">
        <v>28000</v>
      </c>
      <c r="M3" s="3"/>
      <c r="N3" s="3" t="s">
        <v>39</v>
      </c>
      <c r="O3" s="3">
        <v>12000</v>
      </c>
      <c r="P3" s="4"/>
      <c r="Q3" s="4"/>
      <c r="R3" s="4"/>
      <c r="S3" s="3" t="s">
        <v>39</v>
      </c>
      <c r="T3" t="s">
        <v>36</v>
      </c>
      <c r="U3" t="str">
        <f t="shared" ref="U3:U6" si="0">VLOOKUP(S3,A:B,2,0)</f>
        <v>天津市</v>
      </c>
      <c r="V3" t="str">
        <f t="shared" ref="V3:V6" si="1">T3</f>
        <v>本地一区</v>
      </c>
    </row>
    <row r="4" spans="1:22" x14ac:dyDescent="0.3">
      <c r="A4" t="s">
        <v>41</v>
      </c>
      <c r="B4" t="s">
        <v>68</v>
      </c>
      <c r="C4" t="s">
        <v>36</v>
      </c>
      <c r="E4" s="3" t="s">
        <v>91</v>
      </c>
      <c r="F4" s="3">
        <v>72000</v>
      </c>
      <c r="G4" s="3">
        <v>135000</v>
      </c>
      <c r="H4" s="3" t="s">
        <v>42</v>
      </c>
      <c r="I4" s="3">
        <v>28000</v>
      </c>
      <c r="J4" s="3"/>
      <c r="K4" s="3" t="s">
        <v>47</v>
      </c>
      <c r="L4" s="3">
        <v>40000</v>
      </c>
      <c r="M4" s="3"/>
      <c r="N4" s="3" t="s">
        <v>41</v>
      </c>
      <c r="O4" s="3">
        <v>16000</v>
      </c>
      <c r="P4" s="4"/>
      <c r="Q4" s="4"/>
      <c r="R4" s="4"/>
      <c r="S4" s="3" t="s">
        <v>41</v>
      </c>
      <c r="T4" t="s">
        <v>36</v>
      </c>
      <c r="U4" t="str">
        <f t="shared" si="0"/>
        <v>重庆市</v>
      </c>
      <c r="V4" t="str">
        <f t="shared" si="1"/>
        <v>本地一区</v>
      </c>
    </row>
    <row r="5" spans="1:22" x14ac:dyDescent="0.3">
      <c r="A5" t="s">
        <v>43</v>
      </c>
      <c r="B5" t="s">
        <v>69</v>
      </c>
      <c r="C5" t="s">
        <v>36</v>
      </c>
      <c r="E5" s="3" t="s">
        <v>92</v>
      </c>
      <c r="F5" s="3">
        <v>63000</v>
      </c>
      <c r="G5" s="3"/>
      <c r="H5" s="3"/>
      <c r="I5" s="3"/>
      <c r="J5" s="3"/>
      <c r="K5" s="3"/>
      <c r="L5" s="3"/>
      <c r="M5" s="3"/>
      <c r="N5" s="3"/>
      <c r="O5" s="3"/>
      <c r="P5" s="4"/>
      <c r="Q5" s="4"/>
      <c r="R5" s="4"/>
      <c r="S5" s="3" t="s">
        <v>49</v>
      </c>
      <c r="T5" t="s">
        <v>36</v>
      </c>
      <c r="U5" t="str">
        <f t="shared" si="0"/>
        <v>广西壮族自治区</v>
      </c>
      <c r="V5" t="str">
        <f t="shared" si="1"/>
        <v>本地一区</v>
      </c>
    </row>
    <row r="6" spans="1:22" x14ac:dyDescent="0.3">
      <c r="A6" t="s">
        <v>45</v>
      </c>
      <c r="B6" t="s">
        <v>70</v>
      </c>
      <c r="C6" t="s">
        <v>36</v>
      </c>
      <c r="E6" s="3"/>
      <c r="F6" s="3"/>
      <c r="G6" s="3"/>
      <c r="H6" s="3" t="s">
        <v>50</v>
      </c>
      <c r="I6" s="3">
        <v>22000</v>
      </c>
      <c r="J6" s="3"/>
      <c r="K6" s="3" t="s">
        <v>44</v>
      </c>
      <c r="L6" s="3">
        <v>20000</v>
      </c>
      <c r="M6" s="3"/>
      <c r="N6" s="3" t="s">
        <v>49</v>
      </c>
      <c r="O6" s="3">
        <v>14000</v>
      </c>
      <c r="P6" s="4"/>
      <c r="Q6" s="4"/>
      <c r="R6" s="4"/>
      <c r="S6" s="3" t="s">
        <v>51</v>
      </c>
      <c r="T6" t="s">
        <v>36</v>
      </c>
      <c r="U6" t="str">
        <f t="shared" si="0"/>
        <v>云南省</v>
      </c>
      <c r="V6" t="str">
        <f t="shared" si="1"/>
        <v>本地一区</v>
      </c>
    </row>
    <row r="7" spans="1:22" x14ac:dyDescent="0.3">
      <c r="A7" t="s">
        <v>47</v>
      </c>
      <c r="B7" t="s">
        <v>71</v>
      </c>
      <c r="C7" t="s">
        <v>36</v>
      </c>
      <c r="E7" s="3"/>
      <c r="F7" s="3"/>
      <c r="G7" s="3"/>
      <c r="H7" s="3" t="s">
        <v>52</v>
      </c>
      <c r="I7" s="3">
        <v>10000</v>
      </c>
      <c r="J7" s="3"/>
      <c r="K7" s="3" t="s">
        <v>46</v>
      </c>
      <c r="L7" s="3">
        <v>13000</v>
      </c>
      <c r="M7" s="3"/>
      <c r="N7" s="3" t="s">
        <v>51</v>
      </c>
      <c r="O7" s="3">
        <v>17000</v>
      </c>
      <c r="P7" s="4"/>
      <c r="Q7" s="4"/>
      <c r="R7" s="4"/>
      <c r="S7" s="3" t="s">
        <v>53</v>
      </c>
      <c r="T7" t="s">
        <v>36</v>
      </c>
      <c r="U7" t="str">
        <f t="shared" ref="U7:U28" si="2">VLOOKUP(S7,A:B,2,0)</f>
        <v>贵州省</v>
      </c>
      <c r="V7" t="str">
        <f t="shared" ref="V7:V28" si="3">T7</f>
        <v>本地一区</v>
      </c>
    </row>
    <row r="8" spans="1:22" x14ac:dyDescent="0.3">
      <c r="A8" t="s">
        <v>49</v>
      </c>
      <c r="B8" t="s">
        <v>24</v>
      </c>
      <c r="C8" t="s">
        <v>36</v>
      </c>
      <c r="E8" s="3"/>
      <c r="F8" s="3"/>
      <c r="G8" s="3"/>
      <c r="H8" s="3" t="s">
        <v>54</v>
      </c>
      <c r="I8" s="3">
        <v>9000</v>
      </c>
      <c r="J8" s="3"/>
      <c r="K8" s="3" t="s">
        <v>48</v>
      </c>
      <c r="L8" s="3">
        <v>23000</v>
      </c>
      <c r="M8" s="3"/>
      <c r="N8" s="3" t="s">
        <v>53</v>
      </c>
      <c r="O8" s="3">
        <v>11000</v>
      </c>
      <c r="P8" s="4"/>
      <c r="Q8" s="4"/>
      <c r="R8" s="4"/>
      <c r="S8" s="3" t="s">
        <v>55</v>
      </c>
      <c r="T8" t="s">
        <v>36</v>
      </c>
      <c r="U8" t="str">
        <f t="shared" si="2"/>
        <v>山西省</v>
      </c>
      <c r="V8" t="str">
        <f t="shared" si="3"/>
        <v>本地一区</v>
      </c>
    </row>
    <row r="9" spans="1:22" x14ac:dyDescent="0.3">
      <c r="A9" t="s">
        <v>51</v>
      </c>
      <c r="B9" t="s">
        <v>72</v>
      </c>
      <c r="C9" t="s">
        <v>36</v>
      </c>
      <c r="E9" s="3"/>
      <c r="F9" s="3"/>
      <c r="G9" s="3"/>
      <c r="H9" s="3" t="s">
        <v>56</v>
      </c>
      <c r="I9" s="3">
        <v>23000</v>
      </c>
      <c r="J9" s="3"/>
      <c r="K9" s="3"/>
      <c r="L9" s="3"/>
      <c r="M9" s="3"/>
      <c r="N9" s="3" t="s">
        <v>55</v>
      </c>
      <c r="O9" s="3">
        <v>18000</v>
      </c>
      <c r="P9" s="4"/>
      <c r="Q9" s="4"/>
      <c r="R9" s="4"/>
      <c r="S9" s="3" t="s">
        <v>38</v>
      </c>
      <c r="T9" t="s">
        <v>63</v>
      </c>
      <c r="U9" t="str">
        <f t="shared" si="2"/>
        <v>山东省</v>
      </c>
      <c r="V9" t="str">
        <f t="shared" si="3"/>
        <v>本地二区</v>
      </c>
    </row>
    <row r="10" spans="1:22" x14ac:dyDescent="0.3">
      <c r="A10" t="s">
        <v>53</v>
      </c>
      <c r="B10" t="s">
        <v>73</v>
      </c>
      <c r="C10" t="s">
        <v>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3" t="s">
        <v>40</v>
      </c>
      <c r="T10" t="s">
        <v>63</v>
      </c>
      <c r="U10" t="str">
        <f t="shared" si="2"/>
        <v>河南省</v>
      </c>
      <c r="V10" t="str">
        <f t="shared" si="3"/>
        <v>本地二区</v>
      </c>
    </row>
    <row r="11" spans="1:22" x14ac:dyDescent="0.3">
      <c r="A11" t="s">
        <v>55</v>
      </c>
      <c r="B11" t="s">
        <v>74</v>
      </c>
      <c r="C11" t="s">
        <v>36</v>
      </c>
      <c r="E11" s="3"/>
      <c r="F11" s="3"/>
      <c r="G11" s="3"/>
      <c r="H11" s="3"/>
      <c r="I11" s="3"/>
      <c r="J11" s="3"/>
      <c r="K11" s="3" t="s">
        <v>58</v>
      </c>
      <c r="L11" s="3">
        <v>4000</v>
      </c>
      <c r="M11" s="3"/>
      <c r="N11" s="3" t="s">
        <v>57</v>
      </c>
      <c r="O11" s="3">
        <v>6000</v>
      </c>
      <c r="P11" s="4"/>
      <c r="Q11" s="4"/>
      <c r="R11" s="4"/>
      <c r="S11" s="3" t="s">
        <v>42</v>
      </c>
      <c r="T11" t="s">
        <v>63</v>
      </c>
      <c r="U11" t="str">
        <f t="shared" si="2"/>
        <v>河北省</v>
      </c>
      <c r="V11" t="str">
        <f t="shared" si="3"/>
        <v>本地二区</v>
      </c>
    </row>
    <row r="12" spans="1:22" x14ac:dyDescent="0.3">
      <c r="A12" t="s">
        <v>57</v>
      </c>
      <c r="B12" t="s">
        <v>75</v>
      </c>
      <c r="C12" t="s">
        <v>36</v>
      </c>
      <c r="E12" s="3"/>
      <c r="F12" s="3"/>
      <c r="G12" s="3"/>
      <c r="H12" s="3"/>
      <c r="I12" s="3"/>
      <c r="J12" s="3"/>
      <c r="K12" s="3" t="s">
        <v>60</v>
      </c>
      <c r="L12" s="3">
        <v>3000</v>
      </c>
      <c r="M12" s="3"/>
      <c r="N12" s="3" t="s">
        <v>59</v>
      </c>
      <c r="O12" s="3">
        <v>8000</v>
      </c>
      <c r="P12" s="4"/>
      <c r="Q12" s="4"/>
      <c r="R12" s="4"/>
      <c r="S12" s="3" t="s">
        <v>58</v>
      </c>
      <c r="T12" t="s">
        <v>63</v>
      </c>
      <c r="U12" t="str">
        <f t="shared" si="2"/>
        <v>青海省</v>
      </c>
      <c r="V12" t="str">
        <f t="shared" si="3"/>
        <v>本地二区</v>
      </c>
    </row>
    <row r="13" spans="1:22" x14ac:dyDescent="0.3">
      <c r="A13" t="s">
        <v>59</v>
      </c>
      <c r="B13" t="s">
        <v>14</v>
      </c>
      <c r="C13" t="s">
        <v>36</v>
      </c>
      <c r="E13" s="5"/>
      <c r="F13" s="5"/>
      <c r="G13" s="3"/>
      <c r="H13" s="3"/>
      <c r="I13" s="3"/>
      <c r="J13" s="3"/>
      <c r="K13" s="3" t="s">
        <v>62</v>
      </c>
      <c r="L13" s="3">
        <v>8000</v>
      </c>
      <c r="M13" s="3"/>
      <c r="N13" s="3" t="s">
        <v>61</v>
      </c>
      <c r="O13" s="3">
        <v>10000</v>
      </c>
      <c r="P13" s="4"/>
      <c r="Q13" s="4"/>
      <c r="R13" s="4"/>
      <c r="S13" s="3" t="s">
        <v>60</v>
      </c>
      <c r="T13" t="s">
        <v>63</v>
      </c>
      <c r="U13" t="str">
        <f t="shared" si="2"/>
        <v>宁夏回族自治区</v>
      </c>
      <c r="V13" t="str">
        <f t="shared" si="3"/>
        <v>本地二区</v>
      </c>
    </row>
    <row r="14" spans="1:22" x14ac:dyDescent="0.3">
      <c r="A14" t="s">
        <v>61</v>
      </c>
      <c r="B14" t="s">
        <v>27</v>
      </c>
      <c r="C14" t="s">
        <v>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4"/>
      <c r="R14" s="4"/>
      <c r="S14" s="3" t="s">
        <v>62</v>
      </c>
      <c r="T14" t="s">
        <v>63</v>
      </c>
      <c r="U14" t="str">
        <f t="shared" si="2"/>
        <v>甘肃省</v>
      </c>
      <c r="V14" t="str">
        <f t="shared" si="3"/>
        <v>本地二区</v>
      </c>
    </row>
    <row r="15" spans="1:22" x14ac:dyDescent="0.3">
      <c r="A15" t="s">
        <v>38</v>
      </c>
      <c r="B15" t="s">
        <v>76</v>
      </c>
      <c r="C15" t="s">
        <v>63</v>
      </c>
      <c r="E15" s="3" t="s">
        <v>93</v>
      </c>
      <c r="F15" s="3">
        <v>255000</v>
      </c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3" t="s">
        <v>44</v>
      </c>
      <c r="T15" t="s">
        <v>95</v>
      </c>
      <c r="U15" t="str">
        <f t="shared" si="2"/>
        <v>安徽省</v>
      </c>
      <c r="V15" t="str">
        <f t="shared" si="3"/>
        <v>本地三区</v>
      </c>
    </row>
    <row r="16" spans="1:22" x14ac:dyDescent="0.3">
      <c r="A16" t="s">
        <v>40</v>
      </c>
      <c r="B16" t="s">
        <v>77</v>
      </c>
      <c r="C16" t="s">
        <v>63</v>
      </c>
      <c r="E16" s="5"/>
      <c r="F16" s="5"/>
      <c r="G16" s="5"/>
      <c r="H16" s="3" t="s">
        <v>93</v>
      </c>
      <c r="I16" s="5">
        <v>163000</v>
      </c>
      <c r="J16" s="5"/>
      <c r="K16" s="3" t="s">
        <v>93</v>
      </c>
      <c r="L16" s="5">
        <v>161000</v>
      </c>
      <c r="M16" s="5"/>
      <c r="N16" s="3" t="s">
        <v>93</v>
      </c>
      <c r="O16" s="5">
        <v>172000</v>
      </c>
      <c r="P16" s="4"/>
      <c r="Q16" s="4"/>
      <c r="R16" s="4"/>
      <c r="S16" s="3" t="s">
        <v>46</v>
      </c>
      <c r="T16" t="s">
        <v>95</v>
      </c>
      <c r="U16" t="str">
        <f t="shared" si="2"/>
        <v>江西省</v>
      </c>
      <c r="V16" t="str">
        <f t="shared" si="3"/>
        <v>本地三区</v>
      </c>
    </row>
    <row r="17" spans="1:22" x14ac:dyDescent="0.3">
      <c r="A17" t="s">
        <v>42</v>
      </c>
      <c r="B17" t="s">
        <v>78</v>
      </c>
      <c r="C17" t="s">
        <v>63</v>
      </c>
      <c r="E17" s="6"/>
      <c r="F17" s="6"/>
      <c r="G17" s="6"/>
      <c r="H17" s="6"/>
      <c r="I17" s="6"/>
      <c r="J17" s="6"/>
      <c r="K17" s="6"/>
      <c r="L17" s="6"/>
      <c r="M17" s="6"/>
      <c r="N17" s="4"/>
      <c r="O17" s="4"/>
      <c r="P17" s="4"/>
      <c r="Q17" s="4"/>
      <c r="R17" s="4"/>
      <c r="S17" s="3" t="s">
        <v>48</v>
      </c>
      <c r="T17" t="s">
        <v>95</v>
      </c>
      <c r="U17" t="str">
        <f t="shared" si="2"/>
        <v>福建省</v>
      </c>
      <c r="V17" t="str">
        <f t="shared" si="3"/>
        <v>本地三区</v>
      </c>
    </row>
    <row r="18" spans="1:22" x14ac:dyDescent="0.3">
      <c r="A18" t="s">
        <v>44</v>
      </c>
      <c r="B18" t="s">
        <v>79</v>
      </c>
      <c r="C18" t="s">
        <v>63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3" t="s">
        <v>50</v>
      </c>
      <c r="T18" t="s">
        <v>95</v>
      </c>
      <c r="U18" t="str">
        <f t="shared" si="2"/>
        <v>辽宁省</v>
      </c>
      <c r="V18" t="str">
        <f t="shared" si="3"/>
        <v>本地三区</v>
      </c>
    </row>
    <row r="19" spans="1:22" x14ac:dyDescent="0.3">
      <c r="A19" t="s">
        <v>46</v>
      </c>
      <c r="B19" t="s">
        <v>80</v>
      </c>
      <c r="C19" t="s">
        <v>63</v>
      </c>
      <c r="E19" s="11" t="s">
        <v>94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3" t="s">
        <v>52</v>
      </c>
      <c r="T19" t="s">
        <v>95</v>
      </c>
      <c r="U19" t="str">
        <f t="shared" si="2"/>
        <v>黑龙江省</v>
      </c>
      <c r="V19" t="str">
        <f t="shared" si="3"/>
        <v>本地三区</v>
      </c>
    </row>
    <row r="20" spans="1:22" x14ac:dyDescent="0.3">
      <c r="A20" t="s">
        <v>48</v>
      </c>
      <c r="B20" t="s">
        <v>81</v>
      </c>
      <c r="C20" t="s">
        <v>63</v>
      </c>
      <c r="E20" s="9" t="s">
        <v>88</v>
      </c>
      <c r="F20" s="10"/>
      <c r="G20" s="3"/>
      <c r="H20" s="9" t="s">
        <v>33</v>
      </c>
      <c r="I20" s="10"/>
      <c r="J20" s="4"/>
      <c r="K20" s="9" t="s">
        <v>34</v>
      </c>
      <c r="L20" s="10"/>
      <c r="M20" s="4"/>
      <c r="N20" s="9" t="s">
        <v>35</v>
      </c>
      <c r="O20" s="10"/>
      <c r="P20" s="7"/>
      <c r="Q20" s="9" t="s">
        <v>35</v>
      </c>
      <c r="R20" s="10"/>
      <c r="S20" s="3" t="s">
        <v>54</v>
      </c>
      <c r="T20" t="s">
        <v>95</v>
      </c>
      <c r="U20" t="str">
        <f t="shared" si="2"/>
        <v>吉林省</v>
      </c>
      <c r="V20" t="str">
        <f t="shared" si="3"/>
        <v>本地三区</v>
      </c>
    </row>
    <row r="21" spans="1:22" x14ac:dyDescent="0.3">
      <c r="A21" t="s">
        <v>50</v>
      </c>
      <c r="B21" t="s">
        <v>82</v>
      </c>
      <c r="C21" t="s">
        <v>63</v>
      </c>
      <c r="E21" s="3" t="s">
        <v>89</v>
      </c>
      <c r="F21" s="3">
        <v>120000</v>
      </c>
      <c r="G21" s="3">
        <v>12000</v>
      </c>
      <c r="H21" s="3" t="s">
        <v>37</v>
      </c>
      <c r="I21" s="3">
        <v>60000</v>
      </c>
      <c r="J21" s="3"/>
      <c r="K21" s="3" t="s">
        <v>38</v>
      </c>
      <c r="L21" s="3">
        <v>43000</v>
      </c>
      <c r="M21" s="3"/>
      <c r="N21" s="3" t="s">
        <v>44</v>
      </c>
      <c r="O21" s="3">
        <v>20000</v>
      </c>
      <c r="P21" s="7"/>
      <c r="Q21" s="3" t="s">
        <v>43</v>
      </c>
      <c r="R21" s="3">
        <v>22000</v>
      </c>
      <c r="S21" s="3" t="s">
        <v>56</v>
      </c>
      <c r="T21" t="s">
        <v>95</v>
      </c>
      <c r="U21" t="str">
        <f t="shared" si="2"/>
        <v>陕西省</v>
      </c>
      <c r="V21" t="str">
        <f t="shared" si="3"/>
        <v>本地三区</v>
      </c>
    </row>
    <row r="22" spans="1:22" x14ac:dyDescent="0.3">
      <c r="A22" t="s">
        <v>52</v>
      </c>
      <c r="B22" t="s">
        <v>83</v>
      </c>
      <c r="C22" t="s">
        <v>63</v>
      </c>
      <c r="E22" s="3"/>
      <c r="F22" s="3"/>
      <c r="G22" s="3"/>
      <c r="H22" s="3" t="s">
        <v>39</v>
      </c>
      <c r="I22" s="3">
        <v>12000</v>
      </c>
      <c r="J22" s="3"/>
      <c r="K22" s="3" t="s">
        <v>40</v>
      </c>
      <c r="L22" s="3">
        <v>28000</v>
      </c>
      <c r="M22" s="3"/>
      <c r="N22" s="3" t="s">
        <v>46</v>
      </c>
      <c r="O22" s="3">
        <v>13000</v>
      </c>
      <c r="P22" s="7"/>
      <c r="Q22" s="3" t="s">
        <v>45</v>
      </c>
      <c r="R22" s="3">
        <v>28000</v>
      </c>
      <c r="S22" s="3" t="s">
        <v>43</v>
      </c>
      <c r="T22" t="s">
        <v>96</v>
      </c>
      <c r="U22" t="str">
        <f t="shared" si="2"/>
        <v>湖南省</v>
      </c>
      <c r="V22" t="str">
        <f t="shared" si="3"/>
        <v>本地四区</v>
      </c>
    </row>
    <row r="23" spans="1:22" x14ac:dyDescent="0.3">
      <c r="A23" t="s">
        <v>54</v>
      </c>
      <c r="B23" t="s">
        <v>84</v>
      </c>
      <c r="C23" t="s">
        <v>63</v>
      </c>
      <c r="E23" s="3" t="s">
        <v>91</v>
      </c>
      <c r="F23" s="3">
        <v>72000</v>
      </c>
      <c r="G23" s="3">
        <v>135000</v>
      </c>
      <c r="H23" s="3" t="s">
        <v>41</v>
      </c>
      <c r="I23" s="3">
        <v>16000</v>
      </c>
      <c r="J23" s="3"/>
      <c r="K23" s="3" t="s">
        <v>42</v>
      </c>
      <c r="L23" s="3">
        <v>28000</v>
      </c>
      <c r="M23" s="3"/>
      <c r="N23" s="3" t="s">
        <v>48</v>
      </c>
      <c r="O23" s="3">
        <v>23000</v>
      </c>
      <c r="P23" s="7"/>
      <c r="Q23" s="3" t="s">
        <v>47</v>
      </c>
      <c r="R23" s="3">
        <v>40000</v>
      </c>
      <c r="S23" s="3" t="s">
        <v>45</v>
      </c>
      <c r="T23" t="s">
        <v>96</v>
      </c>
      <c r="U23" t="str">
        <f t="shared" si="2"/>
        <v>湖北省</v>
      </c>
      <c r="V23" t="str">
        <f t="shared" si="3"/>
        <v>本地四区</v>
      </c>
    </row>
    <row r="24" spans="1:22" x14ac:dyDescent="0.3">
      <c r="A24" t="s">
        <v>56</v>
      </c>
      <c r="B24" t="s">
        <v>85</v>
      </c>
      <c r="C24" t="s">
        <v>63</v>
      </c>
      <c r="E24" s="3" t="s">
        <v>92</v>
      </c>
      <c r="F24" s="3">
        <v>63000</v>
      </c>
      <c r="G24" s="3"/>
      <c r="H24" s="3"/>
      <c r="I24" s="3"/>
      <c r="J24" s="3"/>
      <c r="K24" s="3"/>
      <c r="L24" s="3"/>
      <c r="M24" s="3"/>
      <c r="N24" s="3"/>
      <c r="O24" s="3"/>
      <c r="P24" s="7"/>
      <c r="Q24" s="3"/>
      <c r="R24" s="3"/>
      <c r="S24" s="3" t="s">
        <v>47</v>
      </c>
      <c r="T24" t="s">
        <v>96</v>
      </c>
      <c r="U24" t="str">
        <f t="shared" si="2"/>
        <v>四川省</v>
      </c>
      <c r="V24" t="str">
        <f t="shared" si="3"/>
        <v>本地四区</v>
      </c>
    </row>
    <row r="25" spans="1:22" x14ac:dyDescent="0.3">
      <c r="A25" t="s">
        <v>58</v>
      </c>
      <c r="B25" t="s">
        <v>86</v>
      </c>
      <c r="C25" t="s">
        <v>63</v>
      </c>
      <c r="E25" s="3"/>
      <c r="F25" s="3"/>
      <c r="G25" s="3"/>
      <c r="H25" s="3" t="s">
        <v>49</v>
      </c>
      <c r="I25" s="3">
        <v>14000</v>
      </c>
      <c r="J25" s="3"/>
      <c r="K25" s="3" t="s">
        <v>58</v>
      </c>
      <c r="L25" s="3">
        <v>4000</v>
      </c>
      <c r="M25" s="3"/>
      <c r="N25" s="3" t="s">
        <v>50</v>
      </c>
      <c r="O25" s="3">
        <v>22000</v>
      </c>
      <c r="P25" s="7"/>
      <c r="Q25" s="3" t="s">
        <v>57</v>
      </c>
      <c r="R25" s="3">
        <v>6000</v>
      </c>
      <c r="S25" s="3" t="s">
        <v>57</v>
      </c>
      <c r="T25" t="s">
        <v>96</v>
      </c>
      <c r="U25" t="str">
        <f t="shared" si="2"/>
        <v>海南省</v>
      </c>
      <c r="V25" t="str">
        <f t="shared" si="3"/>
        <v>本地四区</v>
      </c>
    </row>
    <row r="26" spans="1:22" x14ac:dyDescent="0.3">
      <c r="A26" t="s">
        <v>60</v>
      </c>
      <c r="B26" t="s">
        <v>31</v>
      </c>
      <c r="C26" t="s">
        <v>63</v>
      </c>
      <c r="E26" s="3"/>
      <c r="F26" s="3"/>
      <c r="G26" s="3"/>
      <c r="H26" s="3" t="s">
        <v>51</v>
      </c>
      <c r="I26" s="3">
        <v>17000</v>
      </c>
      <c r="J26" s="3"/>
      <c r="K26" s="3" t="s">
        <v>60</v>
      </c>
      <c r="L26" s="3">
        <v>3000</v>
      </c>
      <c r="M26" s="3"/>
      <c r="N26" s="3" t="s">
        <v>52</v>
      </c>
      <c r="O26" s="3">
        <v>10000</v>
      </c>
      <c r="P26" s="7"/>
      <c r="Q26" s="3" t="s">
        <v>59</v>
      </c>
      <c r="R26" s="3">
        <v>8000</v>
      </c>
      <c r="S26" s="3" t="s">
        <v>59</v>
      </c>
      <c r="T26" t="s">
        <v>96</v>
      </c>
      <c r="U26" t="str">
        <f t="shared" si="2"/>
        <v>新疆维吾尔自治区</v>
      </c>
      <c r="V26" t="str">
        <f t="shared" si="3"/>
        <v>本地四区</v>
      </c>
    </row>
    <row r="27" spans="1:22" x14ac:dyDescent="0.3">
      <c r="A27" t="s">
        <v>62</v>
      </c>
      <c r="B27" t="s">
        <v>87</v>
      </c>
      <c r="C27" t="s">
        <v>63</v>
      </c>
      <c r="E27" s="3"/>
      <c r="F27" s="3"/>
      <c r="G27" s="3"/>
      <c r="H27" s="3" t="s">
        <v>53</v>
      </c>
      <c r="I27" s="3">
        <v>11000</v>
      </c>
      <c r="J27" s="3"/>
      <c r="K27" s="3" t="s">
        <v>62</v>
      </c>
      <c r="L27" s="3">
        <v>8000</v>
      </c>
      <c r="M27" s="3"/>
      <c r="N27" s="3" t="s">
        <v>54</v>
      </c>
      <c r="O27" s="3">
        <v>9000</v>
      </c>
      <c r="P27" s="7"/>
      <c r="Q27" s="3" t="s">
        <v>61</v>
      </c>
      <c r="R27" s="3">
        <v>10000</v>
      </c>
      <c r="S27" s="3" t="s">
        <v>61</v>
      </c>
      <c r="T27" t="s">
        <v>96</v>
      </c>
      <c r="U27" t="str">
        <f t="shared" si="2"/>
        <v>内蒙古自治区</v>
      </c>
      <c r="V27" t="str">
        <f t="shared" si="3"/>
        <v>本地四区</v>
      </c>
    </row>
    <row r="28" spans="1:22" x14ac:dyDescent="0.3">
      <c r="E28" s="3"/>
      <c r="F28" s="3"/>
      <c r="G28" s="3"/>
      <c r="H28" s="3" t="s">
        <v>55</v>
      </c>
      <c r="I28" s="3">
        <v>18000</v>
      </c>
      <c r="J28" s="3"/>
      <c r="K28" s="3"/>
      <c r="L28" s="3"/>
      <c r="M28" s="3"/>
      <c r="N28" s="3" t="s">
        <v>56</v>
      </c>
      <c r="O28" s="3">
        <v>23000</v>
      </c>
      <c r="P28" s="7"/>
      <c r="Q28" s="3"/>
      <c r="R28" s="3"/>
      <c r="U28" t="e">
        <f t="shared" si="2"/>
        <v>#N/A</v>
      </c>
      <c r="V28">
        <f t="shared" si="3"/>
        <v>0</v>
      </c>
    </row>
  </sheetData>
  <mergeCells count="10">
    <mergeCell ref="E1:F1"/>
    <mergeCell ref="H1:I1"/>
    <mergeCell ref="K1:L1"/>
    <mergeCell ref="N1:O1"/>
    <mergeCell ref="E19:R19"/>
    <mergeCell ref="E20:F20"/>
    <mergeCell ref="H20:I20"/>
    <mergeCell ref="K20:L20"/>
    <mergeCell ref="N20:O20"/>
    <mergeCell ref="Q20:R20"/>
  </mergeCells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辅助</vt:lpstr>
      <vt:lpstr>Sheet2</vt:lpstr>
    </vt:vector>
  </TitlesOfParts>
  <Company>Netease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王绥昕</dc:creator>
  <cp:lastModifiedBy>练思琦</cp:lastModifiedBy>
  <dcterms:created xsi:type="dcterms:W3CDTF">2021-07-05T06:31:10Z</dcterms:created>
  <dcterms:modified xsi:type="dcterms:W3CDTF">2023-10-12T09:59:51Z</dcterms:modified>
</cp:coreProperties>
</file>